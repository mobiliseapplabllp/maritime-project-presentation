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ashish/Claude/Projects/maritime-project-presentation/rfp-response/"/>
    </mc:Choice>
  </mc:AlternateContent>
  <xr:revisionPtr revIDLastSave="0" documentId="13_ncr:1_{61688911-D526-154F-9501-995A2E0EAD40}" xr6:coauthVersionLast="47" xr6:coauthVersionMax="47" xr10:uidLastSave="{00000000-0000-0000-0000-000000000000}"/>
  <bookViews>
    <workbookView xWindow="0" yWindow="600" windowWidth="27040" windowHeight="15840" xr2:uid="{00000000-000D-0000-FFFF-FFFF00000000}"/>
  </bookViews>
  <sheets>
    <sheet name="RateCard" sheetId="1" r:id="rId1"/>
    <sheet name="Effort" sheetId="2" r:id="rId2"/>
    <sheet name="TeamPlan" sheetId="3" r:id="rId3"/>
    <sheet name="Cost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" l="1"/>
  <c r="G11" i="3"/>
  <c r="F11" i="3"/>
  <c r="E11" i="3"/>
  <c r="D11" i="3"/>
  <c r="C11" i="3"/>
  <c r="B11" i="3"/>
  <c r="H10" i="3"/>
  <c r="K10" i="3" s="1"/>
  <c r="M10" i="3" s="1"/>
  <c r="H9" i="3"/>
  <c r="K9" i="3" s="1"/>
  <c r="M9" i="3" s="1"/>
  <c r="H8" i="3"/>
  <c r="K8" i="3" s="1"/>
  <c r="M8" i="3" s="1"/>
  <c r="H7" i="3"/>
  <c r="K7" i="3" s="1"/>
  <c r="M7" i="3" s="1"/>
  <c r="K6" i="3"/>
  <c r="M6" i="3" s="1"/>
  <c r="H6" i="3"/>
  <c r="J6" i="3" s="1"/>
  <c r="L6" i="3" s="1"/>
  <c r="H5" i="3"/>
  <c r="K5" i="3" s="1"/>
  <c r="M5" i="3" s="1"/>
  <c r="H4" i="3"/>
  <c r="K4" i="3" s="1"/>
  <c r="M4" i="3" s="1"/>
  <c r="H3" i="3"/>
  <c r="K3" i="3" s="1"/>
  <c r="M3" i="3" s="1"/>
  <c r="H2" i="3"/>
  <c r="H11" i="3" s="1"/>
  <c r="C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21" i="2" s="1"/>
  <c r="D3" i="2"/>
  <c r="D2" i="2"/>
  <c r="N6" i="3" l="1"/>
  <c r="J2" i="3"/>
  <c r="J7" i="3"/>
  <c r="L7" i="3" s="1"/>
  <c r="N7" i="3" s="1"/>
  <c r="K2" i="3"/>
  <c r="J5" i="3"/>
  <c r="L5" i="3" s="1"/>
  <c r="N5" i="3" s="1"/>
  <c r="J10" i="3"/>
  <c r="L10" i="3" s="1"/>
  <c r="N10" i="3" s="1"/>
  <c r="J3" i="3"/>
  <c r="L3" i="3" s="1"/>
  <c r="N3" i="3" s="1"/>
  <c r="J8" i="3"/>
  <c r="L8" i="3" s="1"/>
  <c r="N8" i="3" s="1"/>
  <c r="J4" i="3"/>
  <c r="L4" i="3" s="1"/>
  <c r="N4" i="3" s="1"/>
  <c r="J9" i="3"/>
  <c r="L9" i="3" s="1"/>
  <c r="N9" i="3" s="1"/>
  <c r="M2" i="3" l="1"/>
  <c r="M11" i="3" s="1"/>
  <c r="C2" i="4" s="1"/>
  <c r="K11" i="3"/>
  <c r="B2" i="4" s="1"/>
  <c r="L2" i="3"/>
  <c r="J11" i="3"/>
  <c r="C10" i="4" l="1"/>
  <c r="B3" i="4"/>
  <c r="I12" i="3"/>
  <c r="N2" i="3"/>
  <c r="N11" i="3" s="1"/>
  <c r="L11" i="3"/>
  <c r="C3" i="4" s="1"/>
  <c r="C4" i="4"/>
  <c r="C9" i="4" l="1"/>
  <c r="C6" i="4"/>
</calcChain>
</file>

<file path=xl/sharedStrings.xml><?xml version="1.0" encoding="utf-8"?>
<sst xmlns="http://schemas.openxmlformats.org/spreadsheetml/2006/main" count="112" uniqueCount="103">
  <si>
    <t>Role</t>
  </si>
  <si>
    <t>Offshore rate (USD/mo)</t>
  </si>
  <si>
    <t>Onshore UAE rate (USD/mo)</t>
  </si>
  <si>
    <t>Notes</t>
  </si>
  <si>
    <t>Programme Manager</t>
  </si>
  <si>
    <t>Client-facing governance — onshore-led</t>
  </si>
  <si>
    <t>Solution Architect</t>
  </si>
  <si>
    <t>Architecture authority; onshore for design windows</t>
  </si>
  <si>
    <t>Technical Lead</t>
  </si>
  <si>
    <t>Workstream leads; onshore rotations</t>
  </si>
  <si>
    <t>Senior Engineer</t>
  </si>
  <si>
    <t>Platform and domain services</t>
  </si>
  <si>
    <t>Engineer</t>
  </si>
  <si>
    <t>Feature build — offshore</t>
  </si>
  <si>
    <t>AI/ML Engineer</t>
  </si>
  <si>
    <t>Agents, models, evaluation; onshore for AI workshops</t>
  </si>
  <si>
    <t>QA Engineer</t>
  </si>
  <si>
    <t>Automation-first; onshore for UAT support</t>
  </si>
  <si>
    <t>DevOps Engineer</t>
  </si>
  <si>
    <t>Chassis, CI/CD, environments</t>
  </si>
  <si>
    <t>BA / Domain SME</t>
  </si>
  <si>
    <t>Ministry workshops, UAT — onshore-led</t>
  </si>
  <si>
    <t>Section / stream</t>
  </si>
  <si>
    <t>Programme item</t>
  </si>
  <si>
    <t>MW</t>
  </si>
  <si>
    <t>MM (=MW/4.33)</t>
  </si>
  <si>
    <t>§3</t>
  </si>
  <si>
    <t>Master Data Management</t>
  </si>
  <si>
    <t>§4</t>
  </si>
  <si>
    <t>Ships (Domain 1)</t>
  </si>
  <si>
    <t>§5</t>
  </si>
  <si>
    <t>Seafarers &amp; MET (Domain 2)</t>
  </si>
  <si>
    <t>§6</t>
  </si>
  <si>
    <t>Legislation (Domain 3)</t>
  </si>
  <si>
    <t>§7</t>
  </si>
  <si>
    <t>National Maritime Centre (Domain 4)</t>
  </si>
  <si>
    <t>§8</t>
  </si>
  <si>
    <t>Smart Inspection &amp; Audit (Domain 5)</t>
  </si>
  <si>
    <t>§9</t>
  </si>
  <si>
    <t>Ports (Domain 6)</t>
  </si>
  <si>
    <t>§10</t>
  </si>
  <si>
    <t>Marine Facilities &amp; Companies (Domain 7)</t>
  </si>
  <si>
    <t>§11</t>
  </si>
  <si>
    <t>Revenue &amp; Billing</t>
  </si>
  <si>
    <t>§12</t>
  </si>
  <si>
    <t>Administration &amp; RBAC</t>
  </si>
  <si>
    <t>§13</t>
  </si>
  <si>
    <t>MIS Reports</t>
  </si>
  <si>
    <t>§14</t>
  </si>
  <si>
    <t>Agentic AI across the platform</t>
  </si>
  <si>
    <t>T1</t>
  </si>
  <si>
    <t>Microservices architecture</t>
  </si>
  <si>
    <t>T2</t>
  </si>
  <si>
    <t>Country-level multi-port operation</t>
  </si>
  <si>
    <t>T3</t>
  </si>
  <si>
    <t>Full Arabic/English multilingual</t>
  </si>
  <si>
    <t>T4</t>
  </si>
  <si>
    <t>Agentic AI at the centre (coverage rollout)</t>
  </si>
  <si>
    <t>T5</t>
  </si>
  <si>
    <t>No-code/low-code platform</t>
  </si>
  <si>
    <t>T6</t>
  </si>
  <si>
    <t>Mobile applications (customer app)</t>
  </si>
  <si>
    <t>T7</t>
  </si>
  <si>
    <t>Programme delivery (D0, D8, D9, D10)</t>
  </si>
  <si>
    <t>Consolidated programme</t>
  </si>
  <si>
    <t>Role (FTE per window)</t>
  </si>
  <si>
    <t>M0–M2</t>
  </si>
  <si>
    <t>M3–M5</t>
  </si>
  <si>
    <t>M6–M8</t>
  </si>
  <si>
    <t>M9–M11</t>
  </si>
  <si>
    <t>M12–M14</t>
  </si>
  <si>
    <t>M15</t>
  </si>
  <si>
    <t>Person-months</t>
  </si>
  <si>
    <t>Onshore share</t>
  </si>
  <si>
    <t>Onshore MM</t>
  </si>
  <si>
    <t>Offshore MM</t>
  </si>
  <si>
    <t>Onshore cost (USD)</t>
  </si>
  <si>
    <t>Offshore cost (USD)</t>
  </si>
  <si>
    <t>Role cost (USD)</t>
  </si>
  <si>
    <t>Total</t>
  </si>
  <si>
    <t>Split check</t>
  </si>
  <si>
    <t>(onshore share of MM — target 30%)</t>
  </si>
  <si>
    <t>Line</t>
  </si>
  <si>
    <t>Basis</t>
  </si>
  <si>
    <t>USD</t>
  </si>
  <si>
    <t>Offshore effort cost</t>
  </si>
  <si>
    <t>Onshore (UAE) effort cost</t>
  </si>
  <si>
    <t>Programme effort cost</t>
  </si>
  <si>
    <t>70:30 offshore/onshore</t>
  </si>
  <si>
    <t>Contingency</t>
  </si>
  <si>
    <t>Rate below on effort cost</t>
  </si>
  <si>
    <t>Indicative programme total</t>
  </si>
  <si>
    <t>Contingency rate</t>
  </si>
  <si>
    <t>Blended rate check</t>
  </si>
  <si>
    <t>USD per person-month</t>
  </si>
  <si>
    <t>Onshore share check</t>
  </si>
  <si>
    <t>of person-months</t>
  </si>
  <si>
    <t>Excluded — passed through at cost:</t>
  </si>
  <si>
    <t xml:space="preserve">  · Azure consumption and licences</t>
  </si>
  <si>
    <t xml:space="preserve">  · AI model usage</t>
  </si>
  <si>
    <t xml:space="preserve">  · Penetration-testing vendors</t>
  </si>
  <si>
    <t xml:space="preserve">  · UAE PASS / ICP / payment-gateway / data-provider onboarding fees</t>
  </si>
  <si>
    <t xml:space="preserve">  · International travel (onshore rates are inclusive of local UAE costs)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</si>
</sst>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E7C86"/>
      </patternFill>
    </fill>
    <fill>
      <patternFill patternType="solid">
        <fgColor rgb="FFE7F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3" fontId="0" fillId="0" borderId="0" xfId="0" applyNumberFormat="1"/>
    <xf numFmtId="164" fontId="0" fillId="0" borderId="0" xfId="0" applyNumberFormat="1"/>
    <xf numFmtId="0" fontId="2" fillId="3" borderId="0" xfId="0" applyFont="1" applyFill="1"/>
    <xf numFmtId="164" fontId="2" fillId="3" borderId="0" xfId="0" applyNumberFormat="1" applyFont="1" applyFill="1"/>
    <xf numFmtId="9" fontId="0" fillId="0" borderId="0" xfId="0" applyNumberFormat="1"/>
    <xf numFmtId="9" fontId="2" fillId="3" borderId="0" xfId="0" applyNumberFormat="1" applyFont="1" applyFill="1"/>
    <xf numFmtId="3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zoomScale="134" workbookViewId="0">
      <selection activeCell="B8" sqref="B8"/>
    </sheetView>
  </sheetViews>
  <sheetFormatPr baseColWidth="10" defaultColWidth="8.83203125" defaultRowHeight="15" x14ac:dyDescent="0.2"/>
  <cols>
    <col min="1" max="1" width="24" customWidth="1"/>
    <col min="2" max="2" width="22" customWidth="1"/>
    <col min="3" max="3" width="24" customWidth="1"/>
    <col min="4" max="4" width="44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t="s">
        <v>4</v>
      </c>
      <c r="B2" s="2">
        <v>9500</v>
      </c>
      <c r="C2" s="2">
        <v>21000</v>
      </c>
      <c r="D2" t="s">
        <v>5</v>
      </c>
    </row>
    <row r="3" spans="1:4" x14ac:dyDescent="0.2">
      <c r="A3" t="s">
        <v>6</v>
      </c>
      <c r="B3" s="2">
        <v>11000</v>
      </c>
      <c r="C3" s="2">
        <v>24000</v>
      </c>
      <c r="D3" t="s">
        <v>7</v>
      </c>
    </row>
    <row r="4" spans="1:4" x14ac:dyDescent="0.2">
      <c r="A4" t="s">
        <v>8</v>
      </c>
      <c r="B4" s="2">
        <v>8000</v>
      </c>
      <c r="C4" s="2">
        <v>17500</v>
      </c>
      <c r="D4" t="s">
        <v>9</v>
      </c>
    </row>
    <row r="5" spans="1:4" x14ac:dyDescent="0.2">
      <c r="A5" t="s">
        <v>10</v>
      </c>
      <c r="B5" s="2">
        <v>6500</v>
      </c>
      <c r="C5" s="2">
        <v>14500</v>
      </c>
      <c r="D5" t="s">
        <v>11</v>
      </c>
    </row>
    <row r="6" spans="1:4" x14ac:dyDescent="0.2">
      <c r="A6" t="s">
        <v>12</v>
      </c>
      <c r="B6" s="2">
        <v>4800</v>
      </c>
      <c r="C6" s="2">
        <v>11000</v>
      </c>
      <c r="D6" t="s">
        <v>13</v>
      </c>
    </row>
    <row r="7" spans="1:4" x14ac:dyDescent="0.2">
      <c r="A7" t="s">
        <v>14</v>
      </c>
      <c r="B7" s="2">
        <v>8500</v>
      </c>
      <c r="C7" s="2">
        <v>19000</v>
      </c>
      <c r="D7" t="s">
        <v>15</v>
      </c>
    </row>
    <row r="8" spans="1:4" x14ac:dyDescent="0.2">
      <c r="A8" t="s">
        <v>16</v>
      </c>
      <c r="B8" s="2">
        <v>4200</v>
      </c>
      <c r="C8" s="2">
        <v>9500</v>
      </c>
      <c r="D8" t="s">
        <v>17</v>
      </c>
    </row>
    <row r="9" spans="1:4" x14ac:dyDescent="0.2">
      <c r="A9" t="s">
        <v>18</v>
      </c>
      <c r="B9" s="2">
        <v>6500</v>
      </c>
      <c r="C9" s="2">
        <v>14500</v>
      </c>
      <c r="D9" t="s">
        <v>19</v>
      </c>
    </row>
    <row r="10" spans="1:4" x14ac:dyDescent="0.2">
      <c r="A10" t="s">
        <v>20</v>
      </c>
      <c r="B10" s="2">
        <v>5500</v>
      </c>
      <c r="C10" s="2">
        <v>13000</v>
      </c>
      <c r="D10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zoomScale="162" workbookViewId="0"/>
  </sheetViews>
  <sheetFormatPr baseColWidth="10" defaultColWidth="8.83203125" defaultRowHeight="15" x14ac:dyDescent="0.2"/>
  <cols>
    <col min="1" max="1" width="10" customWidth="1"/>
    <col min="2" max="2" width="44" customWidth="1"/>
  </cols>
  <sheetData>
    <row r="1" spans="1:4" x14ac:dyDescent="0.2">
      <c r="A1" s="1" t="s">
        <v>22</v>
      </c>
      <c r="B1" s="1" t="s">
        <v>23</v>
      </c>
      <c r="C1" s="1" t="s">
        <v>24</v>
      </c>
      <c r="D1" s="1" t="s">
        <v>25</v>
      </c>
    </row>
    <row r="2" spans="1:4" x14ac:dyDescent="0.2">
      <c r="A2" t="s">
        <v>26</v>
      </c>
      <c r="B2" t="s">
        <v>27</v>
      </c>
      <c r="C2">
        <v>89</v>
      </c>
      <c r="D2" s="3">
        <f t="shared" ref="D2:D20" si="0">C2/4.33</f>
        <v>20.554272517321017</v>
      </c>
    </row>
    <row r="3" spans="1:4" x14ac:dyDescent="0.2">
      <c r="A3" t="s">
        <v>28</v>
      </c>
      <c r="B3" t="s">
        <v>29</v>
      </c>
      <c r="C3">
        <v>83</v>
      </c>
      <c r="D3" s="3">
        <f t="shared" si="0"/>
        <v>19.168591224018474</v>
      </c>
    </row>
    <row r="4" spans="1:4" x14ac:dyDescent="0.2">
      <c r="A4" t="s">
        <v>30</v>
      </c>
      <c r="B4" t="s">
        <v>31</v>
      </c>
      <c r="C4">
        <v>99</v>
      </c>
      <c r="D4" s="3">
        <f t="shared" si="0"/>
        <v>22.863741339491916</v>
      </c>
    </row>
    <row r="5" spans="1:4" x14ac:dyDescent="0.2">
      <c r="A5" t="s">
        <v>32</v>
      </c>
      <c r="B5" t="s">
        <v>33</v>
      </c>
      <c r="C5">
        <v>72</v>
      </c>
      <c r="D5" s="3">
        <f t="shared" si="0"/>
        <v>16.628175519630485</v>
      </c>
    </row>
    <row r="6" spans="1:4" x14ac:dyDescent="0.2">
      <c r="A6" t="s">
        <v>34</v>
      </c>
      <c r="B6" t="s">
        <v>35</v>
      </c>
      <c r="C6">
        <v>51</v>
      </c>
      <c r="D6" s="3">
        <f t="shared" si="0"/>
        <v>11.778290993071593</v>
      </c>
    </row>
    <row r="7" spans="1:4" x14ac:dyDescent="0.2">
      <c r="A7" t="s">
        <v>36</v>
      </c>
      <c r="B7" t="s">
        <v>37</v>
      </c>
      <c r="C7">
        <v>54</v>
      </c>
      <c r="D7" s="3">
        <f t="shared" si="0"/>
        <v>12.471131639722863</v>
      </c>
    </row>
    <row r="8" spans="1:4" x14ac:dyDescent="0.2">
      <c r="A8" t="s">
        <v>38</v>
      </c>
      <c r="B8" t="s">
        <v>39</v>
      </c>
      <c r="C8">
        <v>16</v>
      </c>
      <c r="D8" s="3">
        <f t="shared" si="0"/>
        <v>3.695150115473441</v>
      </c>
    </row>
    <row r="9" spans="1:4" x14ac:dyDescent="0.2">
      <c r="A9" t="s">
        <v>40</v>
      </c>
      <c r="B9" t="s">
        <v>41</v>
      </c>
      <c r="C9">
        <v>14</v>
      </c>
      <c r="D9" s="3">
        <f t="shared" si="0"/>
        <v>3.2332563510392611</v>
      </c>
    </row>
    <row r="10" spans="1:4" x14ac:dyDescent="0.2">
      <c r="A10" t="s">
        <v>42</v>
      </c>
      <c r="B10" t="s">
        <v>43</v>
      </c>
      <c r="C10">
        <v>13</v>
      </c>
      <c r="D10" s="3">
        <f t="shared" si="0"/>
        <v>3.0023094688221708</v>
      </c>
    </row>
    <row r="11" spans="1:4" x14ac:dyDescent="0.2">
      <c r="A11" t="s">
        <v>44</v>
      </c>
      <c r="B11" t="s">
        <v>45</v>
      </c>
      <c r="C11">
        <v>20</v>
      </c>
      <c r="D11" s="3">
        <f t="shared" si="0"/>
        <v>4.6189376443418011</v>
      </c>
    </row>
    <row r="12" spans="1:4" x14ac:dyDescent="0.2">
      <c r="A12" t="s">
        <v>46</v>
      </c>
      <c r="B12" t="s">
        <v>47</v>
      </c>
      <c r="C12">
        <v>9</v>
      </c>
      <c r="D12" s="3">
        <f t="shared" si="0"/>
        <v>2.0785219399538106</v>
      </c>
    </row>
    <row r="13" spans="1:4" x14ac:dyDescent="0.2">
      <c r="A13" t="s">
        <v>48</v>
      </c>
      <c r="B13" t="s">
        <v>49</v>
      </c>
      <c r="C13">
        <v>174</v>
      </c>
      <c r="D13" s="3">
        <f t="shared" si="0"/>
        <v>40.184757505773675</v>
      </c>
    </row>
    <row r="14" spans="1:4" x14ac:dyDescent="0.2">
      <c r="A14" t="s">
        <v>50</v>
      </c>
      <c r="B14" t="s">
        <v>51</v>
      </c>
      <c r="C14">
        <v>90</v>
      </c>
      <c r="D14" s="3">
        <f t="shared" si="0"/>
        <v>20.785219399538107</v>
      </c>
    </row>
    <row r="15" spans="1:4" x14ac:dyDescent="0.2">
      <c r="A15" t="s">
        <v>52</v>
      </c>
      <c r="B15" t="s">
        <v>53</v>
      </c>
      <c r="C15">
        <v>40</v>
      </c>
      <c r="D15" s="3">
        <f t="shared" si="0"/>
        <v>9.2378752886836022</v>
      </c>
    </row>
    <row r="16" spans="1:4" x14ac:dyDescent="0.2">
      <c r="A16" t="s">
        <v>54</v>
      </c>
      <c r="B16" t="s">
        <v>55</v>
      </c>
      <c r="C16">
        <v>18</v>
      </c>
      <c r="D16" s="3">
        <f t="shared" si="0"/>
        <v>4.1570438799076213</v>
      </c>
    </row>
    <row r="17" spans="1:4" x14ac:dyDescent="0.2">
      <c r="A17" t="s">
        <v>56</v>
      </c>
      <c r="B17" t="s">
        <v>57</v>
      </c>
      <c r="C17">
        <v>24</v>
      </c>
      <c r="D17" s="3">
        <f t="shared" si="0"/>
        <v>5.5427251732101617</v>
      </c>
    </row>
    <row r="18" spans="1:4" x14ac:dyDescent="0.2">
      <c r="A18" t="s">
        <v>58</v>
      </c>
      <c r="B18" t="s">
        <v>59</v>
      </c>
      <c r="C18">
        <v>26</v>
      </c>
      <c r="D18" s="3">
        <f t="shared" si="0"/>
        <v>6.0046189376443415</v>
      </c>
    </row>
    <row r="19" spans="1:4" x14ac:dyDescent="0.2">
      <c r="A19" t="s">
        <v>60</v>
      </c>
      <c r="B19" t="s">
        <v>61</v>
      </c>
      <c r="C19">
        <v>24</v>
      </c>
      <c r="D19" s="3">
        <f t="shared" si="0"/>
        <v>5.5427251732101617</v>
      </c>
    </row>
    <row r="20" spans="1:4" x14ac:dyDescent="0.2">
      <c r="A20" t="s">
        <v>62</v>
      </c>
      <c r="B20" t="s">
        <v>63</v>
      </c>
      <c r="C20">
        <v>28</v>
      </c>
      <c r="D20" s="3">
        <f t="shared" si="0"/>
        <v>6.4665127020785222</v>
      </c>
    </row>
    <row r="21" spans="1:4" x14ac:dyDescent="0.2">
      <c r="A21" s="4"/>
      <c r="B21" s="4" t="s">
        <v>64</v>
      </c>
      <c r="C21" s="4">
        <f>SUM(C2:C20)</f>
        <v>944</v>
      </c>
      <c r="D21" s="5">
        <f>SUM(D2:D20)</f>
        <v>218.01385681293303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zoomScale="141" workbookViewId="0"/>
  </sheetViews>
  <sheetFormatPr baseColWidth="10" defaultColWidth="8.83203125" defaultRowHeight="15" x14ac:dyDescent="0.2"/>
  <cols>
    <col min="1" max="1" width="24" customWidth="1"/>
    <col min="2" max="11" width="9" bestFit="1" customWidth="1"/>
    <col min="12" max="12" width="9.1640625" bestFit="1" customWidth="1"/>
    <col min="13" max="13" width="9" bestFit="1" customWidth="1"/>
    <col min="14" max="14" width="9.1640625" bestFit="1" customWidth="1"/>
  </cols>
  <sheetData>
    <row r="1" spans="1:14" x14ac:dyDescent="0.2">
      <c r="A1" s="1" t="s">
        <v>65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  <c r="K1" s="1" t="s">
        <v>75</v>
      </c>
      <c r="L1" s="1" t="s">
        <v>76</v>
      </c>
      <c r="M1" s="1" t="s">
        <v>77</v>
      </c>
      <c r="N1" s="1" t="s">
        <v>78</v>
      </c>
    </row>
    <row r="2" spans="1:14" x14ac:dyDescent="0.2">
      <c r="A2" t="s">
        <v>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 s="3">
        <f t="shared" ref="H2:H10" si="0">B2*3+C2*3+D2*3+E2*3+F2*3+G2*1</f>
        <v>16</v>
      </c>
      <c r="I2" s="6">
        <v>1</v>
      </c>
      <c r="J2" s="3">
        <f t="shared" ref="J2:J10" si="1">H2*I2</f>
        <v>16</v>
      </c>
      <c r="K2" s="3">
        <f t="shared" ref="K2:K10" si="2">H2*(1-I2)</f>
        <v>0</v>
      </c>
      <c r="L2" s="2">
        <f>J2*INDEX(RateCard!C:C,MATCH(A2,RateCard!A:A,0))</f>
        <v>336000</v>
      </c>
      <c r="M2" s="2">
        <f>K2*INDEX(RateCard!B:B,MATCH(A2,RateCard!A:A,0))</f>
        <v>0</v>
      </c>
      <c r="N2" s="2">
        <f t="shared" ref="N2:N10" si="3">L2+M2</f>
        <v>336000</v>
      </c>
    </row>
    <row r="3" spans="1:14" x14ac:dyDescent="0.2">
      <c r="A3" t="s">
        <v>6</v>
      </c>
      <c r="B3">
        <v>1</v>
      </c>
      <c r="C3">
        <v>1</v>
      </c>
      <c r="D3">
        <v>1</v>
      </c>
      <c r="E3">
        <v>1</v>
      </c>
      <c r="F3">
        <v>0.5</v>
      </c>
      <c r="G3">
        <v>0</v>
      </c>
      <c r="H3" s="3">
        <f t="shared" si="0"/>
        <v>13.5</v>
      </c>
      <c r="I3" s="6">
        <v>0.6</v>
      </c>
      <c r="J3" s="3">
        <f t="shared" si="1"/>
        <v>8.1</v>
      </c>
      <c r="K3" s="3">
        <f t="shared" si="2"/>
        <v>5.4</v>
      </c>
      <c r="L3" s="2">
        <f>J3*INDEX(RateCard!C:C,MATCH(A3,RateCard!A:A,0))</f>
        <v>194400</v>
      </c>
      <c r="M3" s="2">
        <f>K3*INDEX(RateCard!B:B,MATCH(A3,RateCard!A:A,0))</f>
        <v>59400.000000000007</v>
      </c>
      <c r="N3" s="2">
        <f t="shared" si="3"/>
        <v>253800</v>
      </c>
    </row>
    <row r="4" spans="1:14" x14ac:dyDescent="0.2">
      <c r="A4" t="s">
        <v>8</v>
      </c>
      <c r="B4">
        <v>1</v>
      </c>
      <c r="C4">
        <v>2</v>
      </c>
      <c r="D4">
        <v>3</v>
      </c>
      <c r="E4">
        <v>3</v>
      </c>
      <c r="F4">
        <v>2</v>
      </c>
      <c r="G4">
        <v>1</v>
      </c>
      <c r="H4" s="3">
        <f t="shared" si="0"/>
        <v>34</v>
      </c>
      <c r="I4" s="6">
        <v>0.4</v>
      </c>
      <c r="J4" s="3">
        <f t="shared" si="1"/>
        <v>13.600000000000001</v>
      </c>
      <c r="K4" s="3">
        <f t="shared" si="2"/>
        <v>20.399999999999999</v>
      </c>
      <c r="L4" s="2">
        <f>J4*INDEX(RateCard!C:C,MATCH(A4,RateCard!A:A,0))</f>
        <v>238000.00000000003</v>
      </c>
      <c r="M4" s="2">
        <f>K4*INDEX(RateCard!B:B,MATCH(A4,RateCard!A:A,0))</f>
        <v>163200</v>
      </c>
      <c r="N4" s="2">
        <f t="shared" si="3"/>
        <v>401200</v>
      </c>
    </row>
    <row r="5" spans="1:14" x14ac:dyDescent="0.2">
      <c r="A5" t="s">
        <v>10</v>
      </c>
      <c r="B5">
        <v>2</v>
      </c>
      <c r="C5">
        <v>4</v>
      </c>
      <c r="D5">
        <v>5</v>
      </c>
      <c r="E5">
        <v>5</v>
      </c>
      <c r="F5">
        <v>3</v>
      </c>
      <c r="G5">
        <v>2</v>
      </c>
      <c r="H5" s="3">
        <f t="shared" si="0"/>
        <v>59</v>
      </c>
      <c r="I5" s="6">
        <v>0.2</v>
      </c>
      <c r="J5" s="3">
        <f t="shared" si="1"/>
        <v>11.8</v>
      </c>
      <c r="K5" s="3">
        <f t="shared" si="2"/>
        <v>47.2</v>
      </c>
      <c r="L5" s="2">
        <f>J5*INDEX(RateCard!C:C,MATCH(A5,RateCard!A:A,0))</f>
        <v>171100</v>
      </c>
      <c r="M5" s="2">
        <f>K5*INDEX(RateCard!B:B,MATCH(A5,RateCard!A:A,0))</f>
        <v>306800</v>
      </c>
      <c r="N5" s="2">
        <f t="shared" si="3"/>
        <v>477900</v>
      </c>
    </row>
    <row r="6" spans="1:14" x14ac:dyDescent="0.2">
      <c r="A6" t="s">
        <v>12</v>
      </c>
      <c r="B6">
        <v>1</v>
      </c>
      <c r="C6">
        <v>2</v>
      </c>
      <c r="D6">
        <v>3</v>
      </c>
      <c r="E6">
        <v>3</v>
      </c>
      <c r="F6">
        <v>2</v>
      </c>
      <c r="G6">
        <v>1</v>
      </c>
      <c r="H6" s="3">
        <f t="shared" si="0"/>
        <v>34</v>
      </c>
      <c r="I6" s="6">
        <v>0</v>
      </c>
      <c r="J6" s="3">
        <f t="shared" si="1"/>
        <v>0</v>
      </c>
      <c r="K6" s="3">
        <f t="shared" si="2"/>
        <v>34</v>
      </c>
      <c r="L6" s="2">
        <f>J6*INDEX(RateCard!C:C,MATCH(A6,RateCard!A:A,0))</f>
        <v>0</v>
      </c>
      <c r="M6" s="2">
        <f>K6*INDEX(RateCard!B:B,MATCH(A6,RateCard!A:A,0))</f>
        <v>163200</v>
      </c>
      <c r="N6" s="2">
        <f t="shared" si="3"/>
        <v>163200</v>
      </c>
    </row>
    <row r="7" spans="1:14" x14ac:dyDescent="0.2">
      <c r="A7" t="s">
        <v>14</v>
      </c>
      <c r="B7">
        <v>1</v>
      </c>
      <c r="C7">
        <v>2</v>
      </c>
      <c r="D7">
        <v>2</v>
      </c>
      <c r="E7">
        <v>2</v>
      </c>
      <c r="F7">
        <v>1.5</v>
      </c>
      <c r="G7">
        <v>0.5</v>
      </c>
      <c r="H7" s="3">
        <f t="shared" si="0"/>
        <v>26</v>
      </c>
      <c r="I7" s="6">
        <v>0.25</v>
      </c>
      <c r="J7" s="3">
        <f t="shared" si="1"/>
        <v>6.5</v>
      </c>
      <c r="K7" s="3">
        <f t="shared" si="2"/>
        <v>19.5</v>
      </c>
      <c r="L7" s="2">
        <f>J7*INDEX(RateCard!C:C,MATCH(A7,RateCard!A:A,0))</f>
        <v>123500</v>
      </c>
      <c r="M7" s="2">
        <f>K7*INDEX(RateCard!B:B,MATCH(A7,RateCard!A:A,0))</f>
        <v>165750</v>
      </c>
      <c r="N7" s="2">
        <f t="shared" si="3"/>
        <v>289250</v>
      </c>
    </row>
    <row r="8" spans="1:14" x14ac:dyDescent="0.2">
      <c r="A8" t="s">
        <v>16</v>
      </c>
      <c r="B8">
        <v>0</v>
      </c>
      <c r="C8">
        <v>1</v>
      </c>
      <c r="D8">
        <v>1.5</v>
      </c>
      <c r="E8">
        <v>1.5</v>
      </c>
      <c r="F8">
        <v>1.5</v>
      </c>
      <c r="G8">
        <v>1.5</v>
      </c>
      <c r="H8" s="3">
        <f t="shared" si="0"/>
        <v>18</v>
      </c>
      <c r="I8" s="6">
        <v>0.1</v>
      </c>
      <c r="J8" s="3">
        <f t="shared" si="1"/>
        <v>1.8</v>
      </c>
      <c r="K8" s="3">
        <f t="shared" si="2"/>
        <v>16.2</v>
      </c>
      <c r="L8" s="2">
        <f>J8*INDEX(RateCard!C:C,MATCH(A8,RateCard!A:A,0))</f>
        <v>17100</v>
      </c>
      <c r="M8" s="2">
        <f>K8*INDEX(RateCard!B:B,MATCH(A8,RateCard!A:A,0))</f>
        <v>68040</v>
      </c>
      <c r="N8" s="2">
        <f t="shared" si="3"/>
        <v>85140</v>
      </c>
    </row>
    <row r="9" spans="1:14" x14ac:dyDescent="0.2">
      <c r="A9" t="s">
        <v>18</v>
      </c>
      <c r="B9">
        <v>0.5</v>
      </c>
      <c r="C9">
        <v>0.5</v>
      </c>
      <c r="D9">
        <v>1</v>
      </c>
      <c r="E9">
        <v>1</v>
      </c>
      <c r="F9">
        <v>0.5</v>
      </c>
      <c r="G9">
        <v>0.5</v>
      </c>
      <c r="H9" s="3">
        <f t="shared" si="0"/>
        <v>11</v>
      </c>
      <c r="I9" s="6">
        <v>0.1</v>
      </c>
      <c r="J9" s="3">
        <f t="shared" si="1"/>
        <v>1.1000000000000001</v>
      </c>
      <c r="K9" s="3">
        <f t="shared" si="2"/>
        <v>9.9</v>
      </c>
      <c r="L9" s="2">
        <f>J9*INDEX(RateCard!C:C,MATCH(A9,RateCard!A:A,0))</f>
        <v>15950.000000000002</v>
      </c>
      <c r="M9" s="2">
        <f>K9*INDEX(RateCard!B:B,MATCH(A9,RateCard!A:A,0))</f>
        <v>64350</v>
      </c>
      <c r="N9" s="2">
        <f t="shared" si="3"/>
        <v>80300</v>
      </c>
    </row>
    <row r="10" spans="1:14" x14ac:dyDescent="0.2">
      <c r="A10" t="s">
        <v>20</v>
      </c>
      <c r="B10">
        <v>0.5</v>
      </c>
      <c r="C10">
        <v>0.5</v>
      </c>
      <c r="D10">
        <v>0.5</v>
      </c>
      <c r="E10">
        <v>0.5</v>
      </c>
      <c r="F10">
        <v>0</v>
      </c>
      <c r="G10">
        <v>0.5</v>
      </c>
      <c r="H10" s="3">
        <f t="shared" si="0"/>
        <v>6.5</v>
      </c>
      <c r="I10" s="6">
        <v>1</v>
      </c>
      <c r="J10" s="3">
        <f t="shared" si="1"/>
        <v>6.5</v>
      </c>
      <c r="K10" s="3">
        <f t="shared" si="2"/>
        <v>0</v>
      </c>
      <c r="L10" s="2">
        <f>J10*INDEX(RateCard!C:C,MATCH(A10,RateCard!A:A,0))</f>
        <v>84500</v>
      </c>
      <c r="M10" s="2">
        <f>K10*INDEX(RateCard!B:B,MATCH(A10,RateCard!A:A,0))</f>
        <v>0</v>
      </c>
      <c r="N10" s="2">
        <f t="shared" si="3"/>
        <v>84500</v>
      </c>
    </row>
    <row r="11" spans="1:14" x14ac:dyDescent="0.2">
      <c r="A11" s="4" t="s">
        <v>79</v>
      </c>
      <c r="B11" s="4">
        <f t="shared" ref="B11:H11" si="4">SUM(B2:B10)</f>
        <v>8</v>
      </c>
      <c r="C11" s="4">
        <f t="shared" si="4"/>
        <v>14</v>
      </c>
      <c r="D11" s="4">
        <f t="shared" si="4"/>
        <v>18</v>
      </c>
      <c r="E11" s="4">
        <f t="shared" si="4"/>
        <v>18</v>
      </c>
      <c r="F11" s="4">
        <f t="shared" si="4"/>
        <v>12</v>
      </c>
      <c r="G11" s="4">
        <f t="shared" si="4"/>
        <v>8</v>
      </c>
      <c r="H11" s="5">
        <f t="shared" si="4"/>
        <v>218</v>
      </c>
      <c r="I11" s="7"/>
      <c r="J11" s="5">
        <f>SUM(J2:J10)</f>
        <v>65.400000000000006</v>
      </c>
      <c r="K11" s="5">
        <f>SUM(K2:K10)</f>
        <v>152.6</v>
      </c>
      <c r="L11" s="8">
        <f>SUM(L2:L10)</f>
        <v>1180550</v>
      </c>
      <c r="M11" s="8">
        <f>SUM(M2:M10)</f>
        <v>990740</v>
      </c>
      <c r="N11" s="8">
        <f>SUM(N2:N10)</f>
        <v>2171290</v>
      </c>
    </row>
    <row r="12" spans="1:14" x14ac:dyDescent="0.2">
      <c r="A12" t="s">
        <v>80</v>
      </c>
      <c r="I12" s="6">
        <f>J11/H11</f>
        <v>0.30000000000000004</v>
      </c>
      <c r="J12" t="s">
        <v>81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zoomScale="143" workbookViewId="0">
      <selection activeCell="C10" sqref="C10"/>
    </sheetView>
  </sheetViews>
  <sheetFormatPr baseColWidth="10" defaultColWidth="8.83203125" defaultRowHeight="15" x14ac:dyDescent="0.2"/>
  <cols>
    <col min="1" max="1" width="44" customWidth="1"/>
    <col min="2" max="2" width="40" customWidth="1"/>
    <col min="3" max="3" width="16" customWidth="1"/>
  </cols>
  <sheetData>
    <row r="1" spans="1:3" x14ac:dyDescent="0.2">
      <c r="A1" s="1" t="s">
        <v>82</v>
      </c>
      <c r="B1" s="1" t="s">
        <v>83</v>
      </c>
      <c r="C1" s="1" t="s">
        <v>84</v>
      </c>
    </row>
    <row r="2" spans="1:3" x14ac:dyDescent="0.2">
      <c r="A2" t="s">
        <v>85</v>
      </c>
      <c r="B2" t="str">
        <f>ROUND(TeamPlan!K11,1)&amp;" MM at the offshore rate card"</f>
        <v>152.6 MM at the offshore rate card</v>
      </c>
      <c r="C2" s="2">
        <f>TeamPlan!M11</f>
        <v>990740</v>
      </c>
    </row>
    <row r="3" spans="1:3" x14ac:dyDescent="0.2">
      <c r="A3" t="s">
        <v>86</v>
      </c>
      <c r="B3" t="str">
        <f>ROUND(TeamPlan!J11,1)&amp;" MM at the UAE rate card"</f>
        <v>65.4 MM at the UAE rate card</v>
      </c>
      <c r="C3" s="2">
        <f>TeamPlan!L11</f>
        <v>1180550</v>
      </c>
    </row>
    <row r="4" spans="1:3" x14ac:dyDescent="0.2">
      <c r="A4" t="s">
        <v>87</v>
      </c>
      <c r="B4" t="s">
        <v>88</v>
      </c>
      <c r="C4" s="2">
        <f>C2+C3</f>
        <v>2171290</v>
      </c>
    </row>
    <row r="5" spans="1:3" x14ac:dyDescent="0.2">
      <c r="A5" t="s">
        <v>89</v>
      </c>
      <c r="B5" t="s">
        <v>90</v>
      </c>
      <c r="C5" s="2">
        <f>C4*C7</f>
        <v>260554.8</v>
      </c>
    </row>
    <row r="6" spans="1:3" x14ac:dyDescent="0.2">
      <c r="A6" s="4" t="s">
        <v>91</v>
      </c>
      <c r="B6" s="4"/>
      <c r="C6" s="8">
        <f>C4+C5</f>
        <v>2431844.7999999998</v>
      </c>
    </row>
    <row r="7" spans="1:3" x14ac:dyDescent="0.2">
      <c r="A7" t="s">
        <v>92</v>
      </c>
      <c r="B7" s="6"/>
      <c r="C7">
        <v>0.12</v>
      </c>
    </row>
    <row r="9" spans="1:3" x14ac:dyDescent="0.2">
      <c r="A9" t="s">
        <v>93</v>
      </c>
      <c r="B9" t="s">
        <v>94</v>
      </c>
      <c r="C9" s="2">
        <f>C4/TeamPlan!H11</f>
        <v>9960.0458715596324</v>
      </c>
    </row>
    <row r="10" spans="1:3" x14ac:dyDescent="0.2">
      <c r="A10" t="s">
        <v>95</v>
      </c>
      <c r="B10" t="s">
        <v>96</v>
      </c>
      <c r="C10" s="6">
        <f>TeamPlan!J11/TeamPlan!H11</f>
        <v>0.30000000000000004</v>
      </c>
    </row>
    <row r="12" spans="1:3" x14ac:dyDescent="0.2">
      <c r="A12" t="s">
        <v>97</v>
      </c>
    </row>
    <row r="13" spans="1:3" x14ac:dyDescent="0.2">
      <c r="A13" t="s">
        <v>98</v>
      </c>
    </row>
    <row r="14" spans="1:3" x14ac:dyDescent="0.2">
      <c r="A14" t="s">
        <v>99</v>
      </c>
    </row>
    <row r="15" spans="1:3" x14ac:dyDescent="0.2">
      <c r="A15" t="s">
        <v>100</v>
      </c>
    </row>
    <row r="16" spans="1:3" x14ac:dyDescent="0.2">
      <c r="A16" t="s">
        <v>101</v>
      </c>
    </row>
    <row r="17" spans="1:1" x14ac:dyDescent="0.2">
      <c r="A17" t="s">
        <v>102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RateCard</vt:lpstr>
      <vt:lpstr>Effort</vt:lpstr>
      <vt:lpstr>TeamPlan</vt:lpstr>
      <vt:lpstr>CostSummary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Ashish Sharma</cp:lastModifiedBy>
  <dcterms:created xsi:type="dcterms:W3CDTF">2026-08-28T10:11:55Z</dcterms:created>
  <dcterms:modified xsi:type="dcterms:W3CDTF">2026-08-28T10:27:02Z</dcterms:modified>
</cp:coreProperties>
</file>