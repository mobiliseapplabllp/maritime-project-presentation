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teCard" sheetId="1" state="visible" r:id="rId1"/>
    <sheet xmlns:r="http://schemas.openxmlformats.org/officeDocument/2006/relationships" name="Effort" sheetId="2" state="visible" r:id="rId2"/>
    <sheet xmlns:r="http://schemas.openxmlformats.org/officeDocument/2006/relationships" name="TeamPlan" sheetId="3" state="visible" r:id="rId3"/>
    <sheet xmlns:r="http://schemas.openxmlformats.org/officeDocument/2006/relationships" name="Cost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0E7C86"/>
      </patternFill>
    </fill>
    <fill>
      <patternFill patternType="solid">
        <fgColor rgb="FFE7F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9" fontId="0" fillId="0" borderId="0" pivotButton="0" quotePrefix="0" xfId="0"/>
    <xf numFmtId="9" fontId="2" fillId="3" borderId="0" pivotButton="0" quotePrefix="0" xfId="0"/>
    <xf numFmtId="3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4" customWidth="1" min="3" max="3"/>
    <col width="44" customWidth="1" min="4" max="4"/>
  </cols>
  <sheetData>
    <row r="1">
      <c r="A1" s="1" t="inlineStr">
        <is>
          <t>Role</t>
        </is>
      </c>
      <c r="B1" s="1" t="inlineStr">
        <is>
          <t>Offshore rate (USD/mo)</t>
        </is>
      </c>
      <c r="C1" s="1" t="inlineStr">
        <is>
          <t>Onshore UAE rate (USD/mo)</t>
        </is>
      </c>
      <c r="D1" s="1" t="inlineStr">
        <is>
          <t>Notes</t>
        </is>
      </c>
    </row>
    <row r="2">
      <c r="A2" t="inlineStr">
        <is>
          <t>Programme Manager</t>
        </is>
      </c>
      <c r="B2" s="2" t="n">
        <v>9500</v>
      </c>
      <c r="C2" s="2" t="n">
        <v>21000</v>
      </c>
      <c r="D2" t="inlineStr">
        <is>
          <t>Client-facing governance — onshore-led</t>
        </is>
      </c>
    </row>
    <row r="3">
      <c r="A3" t="inlineStr">
        <is>
          <t>Solution Architect</t>
        </is>
      </c>
      <c r="B3" s="2" t="n">
        <v>11000</v>
      </c>
      <c r="C3" s="2" t="n">
        <v>24000</v>
      </c>
      <c r="D3" t="inlineStr">
        <is>
          <t>Architecture authority; onshore for design windows</t>
        </is>
      </c>
    </row>
    <row r="4">
      <c r="A4" t="inlineStr">
        <is>
          <t>Technical Lead</t>
        </is>
      </c>
      <c r="B4" s="2" t="n">
        <v>8000</v>
      </c>
      <c r="C4" s="2" t="n">
        <v>17500</v>
      </c>
      <c r="D4" t="inlineStr">
        <is>
          <t>Workstream leads; onshore rotations</t>
        </is>
      </c>
    </row>
    <row r="5">
      <c r="A5" t="inlineStr">
        <is>
          <t>Senior Engineer</t>
        </is>
      </c>
      <c r="B5" s="2" t="n">
        <v>6500</v>
      </c>
      <c r="C5" s="2" t="n">
        <v>14500</v>
      </c>
      <c r="D5" t="inlineStr">
        <is>
          <t>Platform and domain services</t>
        </is>
      </c>
    </row>
    <row r="6">
      <c r="A6" t="inlineStr">
        <is>
          <t>Engineer</t>
        </is>
      </c>
      <c r="B6" s="2" t="n">
        <v>4800</v>
      </c>
      <c r="C6" s="2" t="n">
        <v>11000</v>
      </c>
      <c r="D6" t="inlineStr">
        <is>
          <t>Feature build — offshore</t>
        </is>
      </c>
    </row>
    <row r="7">
      <c r="A7" t="inlineStr">
        <is>
          <t>AI/ML Engineer</t>
        </is>
      </c>
      <c r="B7" s="2" t="n">
        <v>8500</v>
      </c>
      <c r="C7" s="2" t="n">
        <v>19000</v>
      </c>
      <c r="D7" t="inlineStr">
        <is>
          <t>Agents, models, evaluation; onshore for AI workshops</t>
        </is>
      </c>
    </row>
    <row r="8">
      <c r="A8" t="inlineStr">
        <is>
          <t>QA Engineer</t>
        </is>
      </c>
      <c r="B8" s="2" t="n">
        <v>4200</v>
      </c>
      <c r="C8" s="2" t="n">
        <v>9500</v>
      </c>
      <c r="D8" t="inlineStr">
        <is>
          <t>Automation-first; onshore for UAT support</t>
        </is>
      </c>
    </row>
    <row r="9">
      <c r="A9" t="inlineStr">
        <is>
          <t>DevOps Engineer</t>
        </is>
      </c>
      <c r="B9" s="2" t="n">
        <v>6500</v>
      </c>
      <c r="C9" s="2" t="n">
        <v>14500</v>
      </c>
      <c r="D9" t="inlineStr">
        <is>
          <t>Chassis, CI/CD, environments</t>
        </is>
      </c>
    </row>
    <row r="10">
      <c r="A10" t="inlineStr">
        <is>
          <t>BA / Domain SME</t>
        </is>
      </c>
      <c r="B10" s="2" t="n">
        <v>5500</v>
      </c>
      <c r="C10" s="2" t="n">
        <v>13000</v>
      </c>
      <c r="D10" t="inlineStr">
        <is>
          <t>Ministry workshops, UAT — onshore-led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0" customWidth="1" min="1" max="1"/>
    <col width="44" customWidth="1" min="2" max="2"/>
  </cols>
  <sheetData>
    <row r="1">
      <c r="A1" s="1" t="inlineStr">
        <is>
          <t>Section / stream</t>
        </is>
      </c>
      <c r="B1" s="1" t="inlineStr">
        <is>
          <t>Programme item</t>
        </is>
      </c>
      <c r="C1" s="1" t="inlineStr">
        <is>
          <t>MW</t>
        </is>
      </c>
      <c r="D1" s="1" t="inlineStr">
        <is>
          <t>MM (=MW/4.33)</t>
        </is>
      </c>
    </row>
    <row r="2">
      <c r="A2" t="inlineStr">
        <is>
          <t>§3</t>
        </is>
      </c>
      <c r="B2" t="inlineStr">
        <is>
          <t>Master Data Management</t>
        </is>
      </c>
      <c r="C2" t="n">
        <v>89</v>
      </c>
      <c r="D2" s="3">
        <f>C2/4.33</f>
        <v/>
      </c>
    </row>
    <row r="3">
      <c r="A3" t="inlineStr">
        <is>
          <t>§4</t>
        </is>
      </c>
      <c r="B3" t="inlineStr">
        <is>
          <t>Ships (Domain 1)</t>
        </is>
      </c>
      <c r="C3" t="n">
        <v>83</v>
      </c>
      <c r="D3" s="3">
        <f>C3/4.33</f>
        <v/>
      </c>
    </row>
    <row r="4">
      <c r="A4" t="inlineStr">
        <is>
          <t>§5</t>
        </is>
      </c>
      <c r="B4" t="inlineStr">
        <is>
          <t>Seafarers &amp; MET (Domain 2)</t>
        </is>
      </c>
      <c r="C4" t="n">
        <v>99</v>
      </c>
      <c r="D4" s="3">
        <f>C4/4.33</f>
        <v/>
      </c>
    </row>
    <row r="5">
      <c r="A5" t="inlineStr">
        <is>
          <t>§6</t>
        </is>
      </c>
      <c r="B5" t="inlineStr">
        <is>
          <t>Legislation (Domain 3)</t>
        </is>
      </c>
      <c r="C5" t="n">
        <v>72</v>
      </c>
      <c r="D5" s="3">
        <f>C5/4.33</f>
        <v/>
      </c>
    </row>
    <row r="6">
      <c r="A6" t="inlineStr">
        <is>
          <t>§7</t>
        </is>
      </c>
      <c r="B6" t="inlineStr">
        <is>
          <t>National Maritime Centre (Domain 4)</t>
        </is>
      </c>
      <c r="C6" t="n">
        <v>51</v>
      </c>
      <c r="D6" s="3">
        <f>C6/4.33</f>
        <v/>
      </c>
    </row>
    <row r="7">
      <c r="A7" t="inlineStr">
        <is>
          <t>§8</t>
        </is>
      </c>
      <c r="B7" t="inlineStr">
        <is>
          <t>Smart Inspection &amp; Audit (Domain 5)</t>
        </is>
      </c>
      <c r="C7" t="n">
        <v>54</v>
      </c>
      <c r="D7" s="3">
        <f>C7/4.33</f>
        <v/>
      </c>
    </row>
    <row r="8">
      <c r="A8" t="inlineStr">
        <is>
          <t>§9</t>
        </is>
      </c>
      <c r="B8" t="inlineStr">
        <is>
          <t>Ports (Domain 6)</t>
        </is>
      </c>
      <c r="C8" t="n">
        <v>16</v>
      </c>
      <c r="D8" s="3">
        <f>C8/4.33</f>
        <v/>
      </c>
    </row>
    <row r="9">
      <c r="A9" t="inlineStr">
        <is>
          <t>§10</t>
        </is>
      </c>
      <c r="B9" t="inlineStr">
        <is>
          <t>Marine Facilities &amp; Companies (Domain 7)</t>
        </is>
      </c>
      <c r="C9" t="n">
        <v>14</v>
      </c>
      <c r="D9" s="3">
        <f>C9/4.33</f>
        <v/>
      </c>
    </row>
    <row r="10">
      <c r="A10" t="inlineStr">
        <is>
          <t>§11</t>
        </is>
      </c>
      <c r="B10" t="inlineStr">
        <is>
          <t>Revenue &amp; Billing</t>
        </is>
      </c>
      <c r="C10" t="n">
        <v>13</v>
      </c>
      <c r="D10" s="3">
        <f>C10/4.33</f>
        <v/>
      </c>
    </row>
    <row r="11">
      <c r="A11" t="inlineStr">
        <is>
          <t>§12</t>
        </is>
      </c>
      <c r="B11" t="inlineStr">
        <is>
          <t>Administration &amp; RBAC</t>
        </is>
      </c>
      <c r="C11" t="n">
        <v>20</v>
      </c>
      <c r="D11" s="3">
        <f>C11/4.33</f>
        <v/>
      </c>
    </row>
    <row r="12">
      <c r="A12" t="inlineStr">
        <is>
          <t>§13</t>
        </is>
      </c>
      <c r="B12" t="inlineStr">
        <is>
          <t>MIS Reports</t>
        </is>
      </c>
      <c r="C12" t="n">
        <v>9</v>
      </c>
      <c r="D12" s="3">
        <f>C12/4.33</f>
        <v/>
      </c>
    </row>
    <row r="13">
      <c r="A13" t="inlineStr">
        <is>
          <t>§14</t>
        </is>
      </c>
      <c r="B13" t="inlineStr">
        <is>
          <t>Agentic AI across the platform</t>
        </is>
      </c>
      <c r="C13" t="n">
        <v>174</v>
      </c>
      <c r="D13" s="3">
        <f>C13/4.33</f>
        <v/>
      </c>
    </row>
    <row r="14">
      <c r="A14" t="inlineStr">
        <is>
          <t>T1</t>
        </is>
      </c>
      <c r="B14" t="inlineStr">
        <is>
          <t>Microservices architecture</t>
        </is>
      </c>
      <c r="C14" t="n">
        <v>90</v>
      </c>
      <c r="D14" s="3">
        <f>C14/4.33</f>
        <v/>
      </c>
    </row>
    <row r="15">
      <c r="A15" t="inlineStr">
        <is>
          <t>T2</t>
        </is>
      </c>
      <c r="B15" t="inlineStr">
        <is>
          <t>Country-level multi-port operation</t>
        </is>
      </c>
      <c r="C15" t="n">
        <v>40</v>
      </c>
      <c r="D15" s="3">
        <f>C15/4.33</f>
        <v/>
      </c>
    </row>
    <row r="16">
      <c r="A16" t="inlineStr">
        <is>
          <t>T3</t>
        </is>
      </c>
      <c r="B16" t="inlineStr">
        <is>
          <t>Full Arabic/English multilingual</t>
        </is>
      </c>
      <c r="C16" t="n">
        <v>18</v>
      </c>
      <c r="D16" s="3">
        <f>C16/4.33</f>
        <v/>
      </c>
    </row>
    <row r="17">
      <c r="A17" t="inlineStr">
        <is>
          <t>T4</t>
        </is>
      </c>
      <c r="B17" t="inlineStr">
        <is>
          <t>Agentic AI at the centre (coverage rollout)</t>
        </is>
      </c>
      <c r="C17" t="n">
        <v>24</v>
      </c>
      <c r="D17" s="3">
        <f>C17/4.33</f>
        <v/>
      </c>
    </row>
    <row r="18">
      <c r="A18" t="inlineStr">
        <is>
          <t>T5</t>
        </is>
      </c>
      <c r="B18" t="inlineStr">
        <is>
          <t>No-code/low-code platform</t>
        </is>
      </c>
      <c r="C18" t="n">
        <v>26</v>
      </c>
      <c r="D18" s="3">
        <f>C18/4.33</f>
        <v/>
      </c>
    </row>
    <row r="19">
      <c r="A19" t="inlineStr">
        <is>
          <t>T6</t>
        </is>
      </c>
      <c r="B19" t="inlineStr">
        <is>
          <t>Mobile applications (customer app)</t>
        </is>
      </c>
      <c r="C19" t="n">
        <v>24</v>
      </c>
      <c r="D19" s="3">
        <f>C19/4.33</f>
        <v/>
      </c>
    </row>
    <row r="20">
      <c r="A20" t="inlineStr">
        <is>
          <t>T7</t>
        </is>
      </c>
      <c r="B20" t="inlineStr">
        <is>
          <t>Programme delivery (D0, D8, D9, D10)</t>
        </is>
      </c>
      <c r="C20" t="n">
        <v>28</v>
      </c>
      <c r="D20" s="3">
        <f>C20/4.33</f>
        <v/>
      </c>
    </row>
    <row r="21">
      <c r="A21" s="4" t="inlineStr"/>
      <c r="B21" s="4" t="inlineStr">
        <is>
          <t>Consolidated programme</t>
        </is>
      </c>
      <c r="C21" s="4">
        <f>SUM(C2:C20)</f>
        <v/>
      </c>
      <c r="D21" s="5">
        <f>SUM(D2:D20)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Role (FTE per window)</t>
        </is>
      </c>
      <c r="B1" s="1" t="inlineStr">
        <is>
          <t>M0–M2</t>
        </is>
      </c>
      <c r="C1" s="1" t="inlineStr">
        <is>
          <t>M3–M5</t>
        </is>
      </c>
      <c r="D1" s="1" t="inlineStr">
        <is>
          <t>M6–M8</t>
        </is>
      </c>
      <c r="E1" s="1" t="inlineStr">
        <is>
          <t>M9–M11</t>
        </is>
      </c>
      <c r="F1" s="1" t="inlineStr">
        <is>
          <t>M12–M14</t>
        </is>
      </c>
      <c r="G1" s="1" t="inlineStr">
        <is>
          <t>M15</t>
        </is>
      </c>
      <c r="H1" s="1" t="inlineStr">
        <is>
          <t>Person-months</t>
        </is>
      </c>
      <c r="I1" s="1" t="inlineStr">
        <is>
          <t>Onshore share</t>
        </is>
      </c>
      <c r="J1" s="1" t="inlineStr">
        <is>
          <t>Onshore MM</t>
        </is>
      </c>
      <c r="K1" s="1" t="inlineStr">
        <is>
          <t>Offshore MM</t>
        </is>
      </c>
      <c r="L1" s="1" t="inlineStr">
        <is>
          <t>Onshore cost (USD)</t>
        </is>
      </c>
      <c r="M1" s="1" t="inlineStr">
        <is>
          <t>Offshore cost (USD)</t>
        </is>
      </c>
      <c r="N1" s="1" t="inlineStr">
        <is>
          <t>Role cost (USD)</t>
        </is>
      </c>
    </row>
    <row r="2">
      <c r="A2" t="inlineStr">
        <is>
          <t>Programme Manager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s="3">
        <f>B2*3+C2*3+D2*3+E2*3+F2*3+G2*1</f>
        <v/>
      </c>
      <c r="I2" s="6" t="n">
        <v>1</v>
      </c>
      <c r="J2" s="3">
        <f>H2*I2</f>
        <v/>
      </c>
      <c r="K2" s="3">
        <f>H2*(1-I2)</f>
        <v/>
      </c>
      <c r="L2" s="2">
        <f>J2*INDEX(RateCard!C:C,MATCH(A2,RateCard!A:A,0))</f>
        <v/>
      </c>
      <c r="M2" s="2">
        <f>K2*INDEX(RateCard!B:B,MATCH(A2,RateCard!A:A,0))</f>
        <v/>
      </c>
      <c r="N2" s="2">
        <f>L2+M2</f>
        <v/>
      </c>
    </row>
    <row r="3">
      <c r="A3" t="inlineStr">
        <is>
          <t>Solution Architect</t>
        </is>
      </c>
      <c r="B3" t="n">
        <v>1</v>
      </c>
      <c r="C3" t="n">
        <v>1</v>
      </c>
      <c r="D3" t="n">
        <v>1</v>
      </c>
      <c r="E3" t="n">
        <v>1</v>
      </c>
      <c r="F3" t="n">
        <v>0.5</v>
      </c>
      <c r="G3" t="n">
        <v>0</v>
      </c>
      <c r="H3" s="3">
        <f>B3*3+C3*3+D3*3+E3*3+F3*3+G3*1</f>
        <v/>
      </c>
      <c r="I3" s="6" t="n">
        <v>0.6</v>
      </c>
      <c r="J3" s="3">
        <f>H3*I3</f>
        <v/>
      </c>
      <c r="K3" s="3">
        <f>H3*(1-I3)</f>
        <v/>
      </c>
      <c r="L3" s="2">
        <f>J3*INDEX(RateCard!C:C,MATCH(A3,RateCard!A:A,0))</f>
        <v/>
      </c>
      <c r="M3" s="2">
        <f>K3*INDEX(RateCard!B:B,MATCH(A3,RateCard!A:A,0))</f>
        <v/>
      </c>
      <c r="N3" s="2">
        <f>L3+M3</f>
        <v/>
      </c>
    </row>
    <row r="4">
      <c r="A4" t="inlineStr">
        <is>
          <t>Technical Lead</t>
        </is>
      </c>
      <c r="B4" t="n">
        <v>1</v>
      </c>
      <c r="C4" t="n">
        <v>2</v>
      </c>
      <c r="D4" t="n">
        <v>3</v>
      </c>
      <c r="E4" t="n">
        <v>3</v>
      </c>
      <c r="F4" t="n">
        <v>2</v>
      </c>
      <c r="G4" t="n">
        <v>1</v>
      </c>
      <c r="H4" s="3">
        <f>B4*3+C4*3+D4*3+E4*3+F4*3+G4*1</f>
        <v/>
      </c>
      <c r="I4" s="6" t="n">
        <v>0.4</v>
      </c>
      <c r="J4" s="3">
        <f>H4*I4</f>
        <v/>
      </c>
      <c r="K4" s="3">
        <f>H4*(1-I4)</f>
        <v/>
      </c>
      <c r="L4" s="2">
        <f>J4*INDEX(RateCard!C:C,MATCH(A4,RateCard!A:A,0))</f>
        <v/>
      </c>
      <c r="M4" s="2">
        <f>K4*INDEX(RateCard!B:B,MATCH(A4,RateCard!A:A,0))</f>
        <v/>
      </c>
      <c r="N4" s="2">
        <f>L4+M4</f>
        <v/>
      </c>
    </row>
    <row r="5">
      <c r="A5" t="inlineStr">
        <is>
          <t>Senior Engineer</t>
        </is>
      </c>
      <c r="B5" t="n">
        <v>2</v>
      </c>
      <c r="C5" t="n">
        <v>4</v>
      </c>
      <c r="D5" t="n">
        <v>5</v>
      </c>
      <c r="E5" t="n">
        <v>5</v>
      </c>
      <c r="F5" t="n">
        <v>3</v>
      </c>
      <c r="G5" t="n">
        <v>2</v>
      </c>
      <c r="H5" s="3">
        <f>B5*3+C5*3+D5*3+E5*3+F5*3+G5*1</f>
        <v/>
      </c>
      <c r="I5" s="6" t="n">
        <v>0.2</v>
      </c>
      <c r="J5" s="3">
        <f>H5*I5</f>
        <v/>
      </c>
      <c r="K5" s="3">
        <f>H5*(1-I5)</f>
        <v/>
      </c>
      <c r="L5" s="2">
        <f>J5*INDEX(RateCard!C:C,MATCH(A5,RateCard!A:A,0))</f>
        <v/>
      </c>
      <c r="M5" s="2">
        <f>K5*INDEX(RateCard!B:B,MATCH(A5,RateCard!A:A,0))</f>
        <v/>
      </c>
      <c r="N5" s="2">
        <f>L5+M5</f>
        <v/>
      </c>
    </row>
    <row r="6">
      <c r="A6" t="inlineStr">
        <is>
          <t>Engineer</t>
        </is>
      </c>
      <c r="B6" t="n">
        <v>1</v>
      </c>
      <c r="C6" t="n">
        <v>2</v>
      </c>
      <c r="D6" t="n">
        <v>3</v>
      </c>
      <c r="E6" t="n">
        <v>3</v>
      </c>
      <c r="F6" t="n">
        <v>2</v>
      </c>
      <c r="G6" t="n">
        <v>1</v>
      </c>
      <c r="H6" s="3">
        <f>B6*3+C6*3+D6*3+E6*3+F6*3+G6*1</f>
        <v/>
      </c>
      <c r="I6" s="6" t="n">
        <v>0</v>
      </c>
      <c r="J6" s="3">
        <f>H6*I6</f>
        <v/>
      </c>
      <c r="K6" s="3">
        <f>H6*(1-I6)</f>
        <v/>
      </c>
      <c r="L6" s="2">
        <f>J6*INDEX(RateCard!C:C,MATCH(A6,RateCard!A:A,0))</f>
        <v/>
      </c>
      <c r="M6" s="2">
        <f>K6*INDEX(RateCard!B:B,MATCH(A6,RateCard!A:A,0))</f>
        <v/>
      </c>
      <c r="N6" s="2">
        <f>L6+M6</f>
        <v/>
      </c>
    </row>
    <row r="7">
      <c r="A7" t="inlineStr">
        <is>
          <t>AI/ML Engineer</t>
        </is>
      </c>
      <c r="B7" t="n">
        <v>1</v>
      </c>
      <c r="C7" t="n">
        <v>2</v>
      </c>
      <c r="D7" t="n">
        <v>2</v>
      </c>
      <c r="E7" t="n">
        <v>2</v>
      </c>
      <c r="F7" t="n">
        <v>1.5</v>
      </c>
      <c r="G7" t="n">
        <v>0.5</v>
      </c>
      <c r="H7" s="3">
        <f>B7*3+C7*3+D7*3+E7*3+F7*3+G7*1</f>
        <v/>
      </c>
      <c r="I7" s="6" t="n">
        <v>0.25</v>
      </c>
      <c r="J7" s="3">
        <f>H7*I7</f>
        <v/>
      </c>
      <c r="K7" s="3">
        <f>H7*(1-I7)</f>
        <v/>
      </c>
      <c r="L7" s="2">
        <f>J7*INDEX(RateCard!C:C,MATCH(A7,RateCard!A:A,0))</f>
        <v/>
      </c>
      <c r="M7" s="2">
        <f>K7*INDEX(RateCard!B:B,MATCH(A7,RateCard!A:A,0))</f>
        <v/>
      </c>
      <c r="N7" s="2">
        <f>L7+M7</f>
        <v/>
      </c>
    </row>
    <row r="8">
      <c r="A8" t="inlineStr">
        <is>
          <t>QA Engineer</t>
        </is>
      </c>
      <c r="B8" t="n">
        <v>0</v>
      </c>
      <c r="C8" t="n">
        <v>1</v>
      </c>
      <c r="D8" t="n">
        <v>1.5</v>
      </c>
      <c r="E8" t="n">
        <v>1.5</v>
      </c>
      <c r="F8" t="n">
        <v>1.5</v>
      </c>
      <c r="G8" t="n">
        <v>1.5</v>
      </c>
      <c r="H8" s="3">
        <f>B8*3+C8*3+D8*3+E8*3+F8*3+G8*1</f>
        <v/>
      </c>
      <c r="I8" s="6" t="n">
        <v>0.1</v>
      </c>
      <c r="J8" s="3">
        <f>H8*I8</f>
        <v/>
      </c>
      <c r="K8" s="3">
        <f>H8*(1-I8)</f>
        <v/>
      </c>
      <c r="L8" s="2">
        <f>J8*INDEX(RateCard!C:C,MATCH(A8,RateCard!A:A,0))</f>
        <v/>
      </c>
      <c r="M8" s="2">
        <f>K8*INDEX(RateCard!B:B,MATCH(A8,RateCard!A:A,0))</f>
        <v/>
      </c>
      <c r="N8" s="2">
        <f>L8+M8</f>
        <v/>
      </c>
    </row>
    <row r="9">
      <c r="A9" t="inlineStr">
        <is>
          <t>DevOps Engineer</t>
        </is>
      </c>
      <c r="B9" t="n">
        <v>0.5</v>
      </c>
      <c r="C9" t="n">
        <v>0.5</v>
      </c>
      <c r="D9" t="n">
        <v>1</v>
      </c>
      <c r="E9" t="n">
        <v>1</v>
      </c>
      <c r="F9" t="n">
        <v>0.5</v>
      </c>
      <c r="G9" t="n">
        <v>0.5</v>
      </c>
      <c r="H9" s="3">
        <f>B9*3+C9*3+D9*3+E9*3+F9*3+G9*1</f>
        <v/>
      </c>
      <c r="I9" s="6" t="n">
        <v>0.1</v>
      </c>
      <c r="J9" s="3">
        <f>H9*I9</f>
        <v/>
      </c>
      <c r="K9" s="3">
        <f>H9*(1-I9)</f>
        <v/>
      </c>
      <c r="L9" s="2">
        <f>J9*INDEX(RateCard!C:C,MATCH(A9,RateCard!A:A,0))</f>
        <v/>
      </c>
      <c r="M9" s="2">
        <f>K9*INDEX(RateCard!B:B,MATCH(A9,RateCard!A:A,0))</f>
        <v/>
      </c>
      <c r="N9" s="2">
        <f>L9+M9</f>
        <v/>
      </c>
    </row>
    <row r="10">
      <c r="A10" t="inlineStr">
        <is>
          <t>BA / Domain SME</t>
        </is>
      </c>
      <c r="B10" t="n">
        <v>0.5</v>
      </c>
      <c r="C10" t="n">
        <v>0.5</v>
      </c>
      <c r="D10" t="n">
        <v>0.5</v>
      </c>
      <c r="E10" t="n">
        <v>0.5</v>
      </c>
      <c r="F10" t="n">
        <v>0</v>
      </c>
      <c r="G10" t="n">
        <v>0.5</v>
      </c>
      <c r="H10" s="3">
        <f>B10*3+C10*3+D10*3+E10*3+F10*3+G10*1</f>
        <v/>
      </c>
      <c r="I10" s="6" t="n">
        <v>1</v>
      </c>
      <c r="J10" s="3">
        <f>H10*I10</f>
        <v/>
      </c>
      <c r="K10" s="3">
        <f>H10*(1-I10)</f>
        <v/>
      </c>
      <c r="L10" s="2">
        <f>J10*INDEX(RateCard!C:C,MATCH(A10,RateCard!A:A,0))</f>
        <v/>
      </c>
      <c r="M10" s="2">
        <f>K10*INDEX(RateCard!B:B,MATCH(A10,RateCard!A:A,0))</f>
        <v/>
      </c>
      <c r="N10" s="2">
        <f>L10+M10</f>
        <v/>
      </c>
    </row>
    <row r="11">
      <c r="A11" s="4" t="inlineStr">
        <is>
          <t>Total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5">
        <f>SUM(H2:H10)</f>
        <v/>
      </c>
      <c r="I11" s="7" t="inlineStr"/>
      <c r="J11" s="5">
        <f>SUM(J2:J10)</f>
        <v/>
      </c>
      <c r="K11" s="5">
        <f>SUM(K2:K10)</f>
        <v/>
      </c>
      <c r="L11" s="8">
        <f>SUM(L2:L10)</f>
        <v/>
      </c>
      <c r="M11" s="8">
        <f>SUM(M2:M10)</f>
        <v/>
      </c>
      <c r="N11" s="8">
        <f>SUM(N2:N10)</f>
        <v/>
      </c>
    </row>
    <row r="12">
      <c r="A12" t="inlineStr">
        <is>
          <t>Split check</t>
        </is>
      </c>
      <c r="B12" t="inlineStr"/>
      <c r="C12" t="inlineStr"/>
      <c r="D12" t="inlineStr"/>
      <c r="E12" t="inlineStr"/>
      <c r="F12" t="inlineStr"/>
      <c r="G12" t="inlineStr"/>
      <c r="H12" t="inlineStr"/>
      <c r="I12" s="6">
        <f>J11/H11</f>
        <v/>
      </c>
      <c r="J12" t="inlineStr">
        <is>
          <t>(onshore share of MM — target 30%)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16" customWidth="1" min="3" max="3"/>
  </cols>
  <sheetData>
    <row r="1">
      <c r="A1" s="1" t="inlineStr">
        <is>
          <t>Line</t>
        </is>
      </c>
      <c r="B1" s="1" t="inlineStr">
        <is>
          <t>Basis</t>
        </is>
      </c>
      <c r="C1" s="1" t="inlineStr">
        <is>
          <t>USD</t>
        </is>
      </c>
    </row>
    <row r="2">
      <c r="A2" t="inlineStr">
        <is>
          <t>Offshore effort cost</t>
        </is>
      </c>
      <c r="B2">
        <f>ROUND(TeamPlan!K11,1)&amp;" MM at the offshore rate card"</f>
        <v/>
      </c>
      <c r="C2" s="2">
        <f>TeamPlan!M11</f>
        <v/>
      </c>
    </row>
    <row r="3">
      <c r="A3" t="inlineStr">
        <is>
          <t>Onshore (UAE) effort cost</t>
        </is>
      </c>
      <c r="B3">
        <f>ROUND(TeamPlan!J11,1)&amp;" MM at the UAE rate card"</f>
        <v/>
      </c>
      <c r="C3" s="2">
        <f>TeamPlan!L11</f>
        <v/>
      </c>
    </row>
    <row r="4">
      <c r="A4" t="inlineStr">
        <is>
          <t>Programme effort cost</t>
        </is>
      </c>
      <c r="B4" t="inlineStr">
        <is>
          <t>70:30 offshore/onshore</t>
        </is>
      </c>
      <c r="C4" s="2">
        <f>C2+C3</f>
        <v/>
      </c>
    </row>
    <row r="5">
      <c r="A5" t="inlineStr">
        <is>
          <t>Contingency</t>
        </is>
      </c>
      <c r="B5" t="inlineStr">
        <is>
          <t>Rate below on effort cost</t>
        </is>
      </c>
      <c r="C5" s="2">
        <f>C4*B7</f>
        <v/>
      </c>
    </row>
    <row r="6">
      <c r="A6" s="4" t="inlineStr">
        <is>
          <t>Indicative programme total</t>
        </is>
      </c>
      <c r="B6" s="4" t="inlineStr"/>
      <c r="C6" s="8">
        <f>C4+C5</f>
        <v/>
      </c>
    </row>
    <row r="7">
      <c r="A7" t="inlineStr">
        <is>
          <t>Contingency rate</t>
        </is>
      </c>
      <c r="B7" s="6" t="inlineStr">
        <is>
          <t>editable</t>
        </is>
      </c>
      <c r="C7" t="n">
        <v>0.12</v>
      </c>
    </row>
    <row r="9">
      <c r="A9" t="inlineStr">
        <is>
          <t>Blended rate check</t>
        </is>
      </c>
      <c r="B9" t="inlineStr">
        <is>
          <t>USD per person-month</t>
        </is>
      </c>
      <c r="C9" s="2">
        <f>C4/TeamPlan!H11</f>
        <v/>
      </c>
    </row>
    <row r="10">
      <c r="A10" t="inlineStr">
        <is>
          <t>Onshore share check</t>
        </is>
      </c>
      <c r="B10" t="inlineStr">
        <is>
          <t>of person-months</t>
        </is>
      </c>
      <c r="C10" s="6">
        <f>TeamPlan!J11/TeamPlan!H11</f>
        <v/>
      </c>
    </row>
    <row r="12">
      <c r="A12" t="inlineStr">
        <is>
          <t>Excluded — passed through at cost:</t>
        </is>
      </c>
      <c r="B12" t="inlineStr"/>
    </row>
    <row r="13">
      <c r="A13" t="inlineStr">
        <is>
          <t xml:space="preserve">  · Azure consumption and licences</t>
        </is>
      </c>
    </row>
    <row r="14">
      <c r="A14" t="inlineStr">
        <is>
          <t xml:space="preserve">  · AI model usage</t>
        </is>
      </c>
    </row>
    <row r="15">
      <c r="A15" t="inlineStr">
        <is>
          <t xml:space="preserve">  · Penetration-testing vendors</t>
        </is>
      </c>
    </row>
    <row r="16">
      <c r="A16" t="inlineStr">
        <is>
          <t xml:space="preserve">  · UAE PASS / ICP / payment-gateway / data-provider onboarding fees</t>
        </is>
      </c>
    </row>
    <row r="17">
      <c r="A17" t="inlineStr">
        <is>
          <t xml:space="preserve">  · International travel (onshore rates are inclusive of local UAE costs)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2026-08-28T10:11:55Z</dcterms:created>
  <dcterms:modified xmlns:dcterms="http://purl.org/dc/terms/" xmlns:xsi="http://www.w3.org/2001/XMLSchema-instance" xsi:type="dcterms:W3CDTF">2026-08-28T10:11:55Z</dcterms:modified>
</cp:coreProperties>
</file>