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Card" sheetId="1" state="visible" r:id="rId1"/>
    <sheet xmlns:r="http://schemas.openxmlformats.org/officeDocument/2006/relationships" name="Effort" sheetId="2" state="visible" r:id="rId2"/>
    <sheet xmlns:r="http://schemas.openxmlformats.org/officeDocument/2006/relationships" name="TeamPlan" sheetId="3" state="visible" r:id="rId3"/>
    <sheet xmlns:r="http://schemas.openxmlformats.org/officeDocument/2006/relationships" name="Cost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0E7C86"/>
      </patternFill>
    </fill>
    <fill>
      <patternFill patternType="solid">
        <fgColor rgb="FFE7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46" customWidth="1" min="3" max="3"/>
  </cols>
  <sheetData>
    <row r="1">
      <c r="A1" s="1" t="inlineStr">
        <is>
          <t>Role</t>
        </is>
      </c>
      <c r="B1" s="1" t="inlineStr">
        <is>
          <t>Monthly rate (USD)</t>
        </is>
      </c>
      <c r="C1" s="1" t="inlineStr">
        <is>
          <t>Notes</t>
        </is>
      </c>
    </row>
    <row r="2">
      <c r="A2" t="inlineStr">
        <is>
          <t>Programme Manager</t>
        </is>
      </c>
      <c r="B2" s="2" t="n">
        <v>9500</v>
      </c>
      <c r="C2" t="inlineStr">
        <is>
          <t>Programme leadership, governance cadence</t>
        </is>
      </c>
    </row>
    <row r="3">
      <c r="A3" t="inlineStr">
        <is>
          <t>Solution Architect</t>
        </is>
      </c>
      <c r="B3" s="2" t="n">
        <v>11000</v>
      </c>
      <c r="C3" t="inlineStr">
        <is>
          <t>AI-native architecture, microservice target</t>
        </is>
      </c>
    </row>
    <row r="4">
      <c r="A4" t="inlineStr">
        <is>
          <t>Technical Lead</t>
        </is>
      </c>
      <c r="B4" s="2" t="n">
        <v>8000</v>
      </c>
      <c r="C4" t="inlineStr">
        <is>
          <t>One per major workstream</t>
        </is>
      </c>
    </row>
    <row r="5">
      <c r="A5" t="inlineStr">
        <is>
          <t>Senior Engineer</t>
        </is>
      </c>
      <c r="B5" s="2" t="n">
        <v>6500</v>
      </c>
      <c r="C5" t="inlineStr">
        <is>
          <t>Platform and domain services</t>
        </is>
      </c>
    </row>
    <row r="6">
      <c r="A6" t="inlineStr">
        <is>
          <t>Engineer</t>
        </is>
      </c>
      <c r="B6" s="2" t="n">
        <v>4800</v>
      </c>
      <c r="C6" t="inlineStr">
        <is>
          <t>Feature build, LCNC content</t>
        </is>
      </c>
    </row>
    <row r="7">
      <c r="A7" t="inlineStr">
        <is>
          <t>AI/ML Engineer</t>
        </is>
      </c>
      <c r="B7" s="2" t="n">
        <v>8500</v>
      </c>
      <c r="C7" t="inlineStr">
        <is>
          <t>Agents, models, evaluation</t>
        </is>
      </c>
    </row>
    <row r="8">
      <c r="A8" t="inlineStr">
        <is>
          <t>QA Engineer</t>
        </is>
      </c>
      <c r="B8" s="2" t="n">
        <v>4200</v>
      </c>
      <c r="C8" t="inlineStr">
        <is>
          <t>Automation-first testing</t>
        </is>
      </c>
    </row>
    <row r="9">
      <c r="A9" t="inlineStr">
        <is>
          <t>DevOps Engineer</t>
        </is>
      </c>
      <c r="B9" s="2" t="n">
        <v>6500</v>
      </c>
      <c r="C9" t="inlineStr">
        <is>
          <t>Chassis, CI/CD, environments</t>
        </is>
      </c>
    </row>
    <row r="10">
      <c r="A10" t="inlineStr">
        <is>
          <t>BA / Domain SME</t>
        </is>
      </c>
      <c r="B10" s="2" t="n">
        <v>5500</v>
      </c>
      <c r="C10" t="inlineStr">
        <is>
          <t>Maritime domain, UAT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</cols>
  <sheetData>
    <row r="1">
      <c r="A1" s="1" t="inlineStr">
        <is>
          <t>Section / stream</t>
        </is>
      </c>
      <c r="B1" s="1" t="inlineStr">
        <is>
          <t>Programme item</t>
        </is>
      </c>
      <c r="C1" s="1" t="inlineStr">
        <is>
          <t>MW</t>
        </is>
      </c>
      <c r="D1" s="1" t="inlineStr">
        <is>
          <t>MM (=MW/4.33)</t>
        </is>
      </c>
    </row>
    <row r="2">
      <c r="A2" t="inlineStr">
        <is>
          <t>§3</t>
        </is>
      </c>
      <c r="B2" t="inlineStr">
        <is>
          <t>Master Data Management</t>
        </is>
      </c>
      <c r="C2" t="n">
        <v>89</v>
      </c>
      <c r="D2" s="3">
        <f>C2/4.33</f>
        <v/>
      </c>
    </row>
    <row r="3">
      <c r="A3" t="inlineStr">
        <is>
          <t>§4</t>
        </is>
      </c>
      <c r="B3" t="inlineStr">
        <is>
          <t>Ships (Domain 1)</t>
        </is>
      </c>
      <c r="C3" t="n">
        <v>83</v>
      </c>
      <c r="D3" s="3">
        <f>C3/4.33</f>
        <v/>
      </c>
    </row>
    <row r="4">
      <c r="A4" t="inlineStr">
        <is>
          <t>§5</t>
        </is>
      </c>
      <c r="B4" t="inlineStr">
        <is>
          <t>Seafarers &amp; MET (Domain 2)</t>
        </is>
      </c>
      <c r="C4" t="n">
        <v>99</v>
      </c>
      <c r="D4" s="3">
        <f>C4/4.33</f>
        <v/>
      </c>
    </row>
    <row r="5">
      <c r="A5" t="inlineStr">
        <is>
          <t>§6</t>
        </is>
      </c>
      <c r="B5" t="inlineStr">
        <is>
          <t>Legislation (Domain 3)</t>
        </is>
      </c>
      <c r="C5" t="n">
        <v>72</v>
      </c>
      <c r="D5" s="3">
        <f>C5/4.33</f>
        <v/>
      </c>
    </row>
    <row r="6">
      <c r="A6" t="inlineStr">
        <is>
          <t>§7</t>
        </is>
      </c>
      <c r="B6" t="inlineStr">
        <is>
          <t>National Maritime Centre (Domain 4)</t>
        </is>
      </c>
      <c r="C6" t="n">
        <v>51</v>
      </c>
      <c r="D6" s="3">
        <f>C6/4.33</f>
        <v/>
      </c>
    </row>
    <row r="7">
      <c r="A7" t="inlineStr">
        <is>
          <t>§8</t>
        </is>
      </c>
      <c r="B7" t="inlineStr">
        <is>
          <t>Smart Inspection &amp; Audit (Domain 5)</t>
        </is>
      </c>
      <c r="C7" t="n">
        <v>54</v>
      </c>
      <c r="D7" s="3">
        <f>C7/4.33</f>
        <v/>
      </c>
    </row>
    <row r="8">
      <c r="A8" t="inlineStr">
        <is>
          <t>§9</t>
        </is>
      </c>
      <c r="B8" t="inlineStr">
        <is>
          <t>Ports (Domain 6)</t>
        </is>
      </c>
      <c r="C8" t="n">
        <v>16</v>
      </c>
      <c r="D8" s="3">
        <f>C8/4.33</f>
        <v/>
      </c>
    </row>
    <row r="9">
      <c r="A9" t="inlineStr">
        <is>
          <t>§10</t>
        </is>
      </c>
      <c r="B9" t="inlineStr">
        <is>
          <t>Marine Facilities &amp; Companies (Domain 7)</t>
        </is>
      </c>
      <c r="C9" t="n">
        <v>14</v>
      </c>
      <c r="D9" s="3">
        <f>C9/4.33</f>
        <v/>
      </c>
    </row>
    <row r="10">
      <c r="A10" t="inlineStr">
        <is>
          <t>§11</t>
        </is>
      </c>
      <c r="B10" t="inlineStr">
        <is>
          <t>Revenue &amp; Billing</t>
        </is>
      </c>
      <c r="C10" t="n">
        <v>13</v>
      </c>
      <c r="D10" s="3">
        <f>C10/4.33</f>
        <v/>
      </c>
    </row>
    <row r="11">
      <c r="A11" t="inlineStr">
        <is>
          <t>§12</t>
        </is>
      </c>
      <c r="B11" t="inlineStr">
        <is>
          <t>Administration &amp; RBAC</t>
        </is>
      </c>
      <c r="C11" t="n">
        <v>20</v>
      </c>
      <c r="D11" s="3">
        <f>C11/4.33</f>
        <v/>
      </c>
    </row>
    <row r="12">
      <c r="A12" t="inlineStr">
        <is>
          <t>§13</t>
        </is>
      </c>
      <c r="B12" t="inlineStr">
        <is>
          <t>MIS Reports</t>
        </is>
      </c>
      <c r="C12" t="n">
        <v>9</v>
      </c>
      <c r="D12" s="3">
        <f>C12/4.33</f>
        <v/>
      </c>
    </row>
    <row r="13">
      <c r="A13" t="inlineStr">
        <is>
          <t>§14</t>
        </is>
      </c>
      <c r="B13" t="inlineStr">
        <is>
          <t>Agentic AI across the platform</t>
        </is>
      </c>
      <c r="C13" t="n">
        <v>174</v>
      </c>
      <c r="D13" s="3">
        <f>C13/4.33</f>
        <v/>
      </c>
    </row>
    <row r="14">
      <c r="A14" t="inlineStr">
        <is>
          <t>T1</t>
        </is>
      </c>
      <c r="B14" t="inlineStr">
        <is>
          <t>Microservices architecture</t>
        </is>
      </c>
      <c r="C14" t="n">
        <v>90</v>
      </c>
      <c r="D14" s="3">
        <f>C14/4.33</f>
        <v/>
      </c>
    </row>
    <row r="15">
      <c r="A15" t="inlineStr">
        <is>
          <t>T2</t>
        </is>
      </c>
      <c r="B15" t="inlineStr">
        <is>
          <t>Country-level multi-port operation</t>
        </is>
      </c>
      <c r="C15" t="n">
        <v>40</v>
      </c>
      <c r="D15" s="3">
        <f>C15/4.33</f>
        <v/>
      </c>
    </row>
    <row r="16">
      <c r="A16" t="inlineStr">
        <is>
          <t>T3</t>
        </is>
      </c>
      <c r="B16" t="inlineStr">
        <is>
          <t>Full Arabic/English multilingual</t>
        </is>
      </c>
      <c r="C16" t="n">
        <v>18</v>
      </c>
      <c r="D16" s="3">
        <f>C16/4.33</f>
        <v/>
      </c>
    </row>
    <row r="17">
      <c r="A17" t="inlineStr">
        <is>
          <t>T4</t>
        </is>
      </c>
      <c r="B17" t="inlineStr">
        <is>
          <t>Agentic AI at the centre (coverage rollout)</t>
        </is>
      </c>
      <c r="C17" t="n">
        <v>24</v>
      </c>
      <c r="D17" s="3">
        <f>C17/4.33</f>
        <v/>
      </c>
    </row>
    <row r="18">
      <c r="A18" t="inlineStr">
        <is>
          <t>T5</t>
        </is>
      </c>
      <c r="B18" t="inlineStr">
        <is>
          <t>No-code/low-code platform</t>
        </is>
      </c>
      <c r="C18" t="n">
        <v>26</v>
      </c>
      <c r="D18" s="3">
        <f>C18/4.33</f>
        <v/>
      </c>
    </row>
    <row r="19">
      <c r="A19" t="inlineStr">
        <is>
          <t>T6</t>
        </is>
      </c>
      <c r="B19" t="inlineStr">
        <is>
          <t>Mobile applications (customer app)</t>
        </is>
      </c>
      <c r="C19" t="n">
        <v>24</v>
      </c>
      <c r="D19" s="3">
        <f>C19/4.33</f>
        <v/>
      </c>
    </row>
    <row r="20">
      <c r="A20" t="inlineStr">
        <is>
          <t>T7</t>
        </is>
      </c>
      <c r="B20" t="inlineStr">
        <is>
          <t>Programme delivery (D0, D8, D9, D10)</t>
        </is>
      </c>
      <c r="C20" t="n">
        <v>28</v>
      </c>
      <c r="D20" s="3">
        <f>C20/4.33</f>
        <v/>
      </c>
    </row>
    <row r="21">
      <c r="A21" s="4" t="inlineStr"/>
      <c r="B21" s="4" t="inlineStr">
        <is>
          <t>Consolidated programme</t>
        </is>
      </c>
      <c r="C21" s="4">
        <f>SUM(C2:C20)</f>
        <v/>
      </c>
      <c r="D21" s="5">
        <f>SUM(D2:D20)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Role (FTE per window)</t>
        </is>
      </c>
      <c r="B1" s="1" t="inlineStr">
        <is>
          <t>M0–M2</t>
        </is>
      </c>
      <c r="C1" s="1" t="inlineStr">
        <is>
          <t>M3–M5</t>
        </is>
      </c>
      <c r="D1" s="1" t="inlineStr">
        <is>
          <t>M6–M8</t>
        </is>
      </c>
      <c r="E1" s="1" t="inlineStr">
        <is>
          <t>M9–M11</t>
        </is>
      </c>
      <c r="F1" s="1" t="inlineStr">
        <is>
          <t>M12–M14</t>
        </is>
      </c>
      <c r="G1" s="1" t="inlineStr">
        <is>
          <t>M15</t>
        </is>
      </c>
      <c r="H1" s="1" t="inlineStr">
        <is>
          <t>Months each →</t>
        </is>
      </c>
      <c r="I1" s="1" t="inlineStr">
        <is>
          <t>Person-months</t>
        </is>
      </c>
      <c r="J1" s="1" t="inlineStr">
        <is>
          <t>Rate (USD/mo)</t>
        </is>
      </c>
      <c r="K1" s="1" t="inlineStr">
        <is>
          <t>Cost (USD)</t>
        </is>
      </c>
    </row>
    <row r="2">
      <c r="A2" t="inlineStr">
        <is>
          <t>Programme Manager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inlineStr"/>
      <c r="I2" s="2">
        <f>B2*3+C2*3+D2*3+E2*3+F2*3+G2*1</f>
        <v/>
      </c>
      <c r="J2" s="2">
        <f>INDEX(RateCard!B:B,MATCH(A2,RateCard!A:A,0))</f>
        <v/>
      </c>
      <c r="K2" s="2">
        <f>I2*J2</f>
        <v/>
      </c>
    </row>
    <row r="3">
      <c r="A3" t="inlineStr">
        <is>
          <t>Solution Architect</t>
        </is>
      </c>
      <c r="B3" t="n">
        <v>1</v>
      </c>
      <c r="C3" t="n">
        <v>1</v>
      </c>
      <c r="D3" t="n">
        <v>1</v>
      </c>
      <c r="E3" t="n">
        <v>1</v>
      </c>
      <c r="F3" t="n">
        <v>0.5</v>
      </c>
      <c r="G3" t="n">
        <v>0</v>
      </c>
      <c r="H3" t="inlineStr"/>
      <c r="I3" s="2">
        <f>B3*3+C3*3+D3*3+E3*3+F3*3+G3*1</f>
        <v/>
      </c>
      <c r="J3" s="2">
        <f>INDEX(RateCard!B:B,MATCH(A3,RateCard!A:A,0))</f>
        <v/>
      </c>
      <c r="K3" s="2">
        <f>I3*J3</f>
        <v/>
      </c>
    </row>
    <row r="4">
      <c r="A4" t="inlineStr">
        <is>
          <t>Technical Lead</t>
        </is>
      </c>
      <c r="B4" t="n">
        <v>1</v>
      </c>
      <c r="C4" t="n">
        <v>2</v>
      </c>
      <c r="D4" t="n">
        <v>3</v>
      </c>
      <c r="E4" t="n">
        <v>3</v>
      </c>
      <c r="F4" t="n">
        <v>2</v>
      </c>
      <c r="G4" t="n">
        <v>1</v>
      </c>
      <c r="H4" t="inlineStr"/>
      <c r="I4" s="2">
        <f>B4*3+C4*3+D4*3+E4*3+F4*3+G4*1</f>
        <v/>
      </c>
      <c r="J4" s="2">
        <f>INDEX(RateCard!B:B,MATCH(A4,RateCard!A:A,0))</f>
        <v/>
      </c>
      <c r="K4" s="2">
        <f>I4*J4</f>
        <v/>
      </c>
    </row>
    <row r="5">
      <c r="A5" t="inlineStr">
        <is>
          <t>Senior Engineer</t>
        </is>
      </c>
      <c r="B5" t="n">
        <v>2</v>
      </c>
      <c r="C5" t="n">
        <v>4</v>
      </c>
      <c r="D5" t="n">
        <v>5</v>
      </c>
      <c r="E5" t="n">
        <v>5</v>
      </c>
      <c r="F5" t="n">
        <v>3</v>
      </c>
      <c r="G5" t="n">
        <v>2</v>
      </c>
      <c r="H5" t="inlineStr"/>
      <c r="I5" s="2">
        <f>B5*3+C5*3+D5*3+E5*3+F5*3+G5*1</f>
        <v/>
      </c>
      <c r="J5" s="2">
        <f>INDEX(RateCard!B:B,MATCH(A5,RateCard!A:A,0))</f>
        <v/>
      </c>
      <c r="K5" s="2">
        <f>I5*J5</f>
        <v/>
      </c>
    </row>
    <row r="6">
      <c r="A6" t="inlineStr">
        <is>
          <t>Engineer</t>
        </is>
      </c>
      <c r="B6" t="n">
        <v>1</v>
      </c>
      <c r="C6" t="n">
        <v>2</v>
      </c>
      <c r="D6" t="n">
        <v>3</v>
      </c>
      <c r="E6" t="n">
        <v>3</v>
      </c>
      <c r="F6" t="n">
        <v>2</v>
      </c>
      <c r="G6" t="n">
        <v>1</v>
      </c>
      <c r="H6" t="inlineStr"/>
      <c r="I6" s="2">
        <f>B6*3+C6*3+D6*3+E6*3+F6*3+G6*1</f>
        <v/>
      </c>
      <c r="J6" s="2">
        <f>INDEX(RateCard!B:B,MATCH(A6,RateCard!A:A,0))</f>
        <v/>
      </c>
      <c r="K6" s="2">
        <f>I6*J6</f>
        <v/>
      </c>
    </row>
    <row r="7">
      <c r="A7" t="inlineStr">
        <is>
          <t>AI/ML Engineer</t>
        </is>
      </c>
      <c r="B7" t="n">
        <v>1</v>
      </c>
      <c r="C7" t="n">
        <v>2</v>
      </c>
      <c r="D7" t="n">
        <v>2</v>
      </c>
      <c r="E7" t="n">
        <v>2</v>
      </c>
      <c r="F7" t="n">
        <v>1.5</v>
      </c>
      <c r="G7" t="n">
        <v>0.5</v>
      </c>
      <c r="H7" t="inlineStr"/>
      <c r="I7" s="2">
        <f>B7*3+C7*3+D7*3+E7*3+F7*3+G7*1</f>
        <v/>
      </c>
      <c r="J7" s="2">
        <f>INDEX(RateCard!B:B,MATCH(A7,RateCard!A:A,0))</f>
        <v/>
      </c>
      <c r="K7" s="2">
        <f>I7*J7</f>
        <v/>
      </c>
    </row>
    <row r="8">
      <c r="A8" t="inlineStr">
        <is>
          <t>QA Engineer</t>
        </is>
      </c>
      <c r="B8" t="n">
        <v>0</v>
      </c>
      <c r="C8" t="n">
        <v>1</v>
      </c>
      <c r="D8" t="n">
        <v>1.5</v>
      </c>
      <c r="E8" t="n">
        <v>1.5</v>
      </c>
      <c r="F8" t="n">
        <v>1.5</v>
      </c>
      <c r="G8" t="n">
        <v>1.5</v>
      </c>
      <c r="H8" t="inlineStr"/>
      <c r="I8" s="2">
        <f>B8*3+C8*3+D8*3+E8*3+F8*3+G8*1</f>
        <v/>
      </c>
      <c r="J8" s="2">
        <f>INDEX(RateCard!B:B,MATCH(A8,RateCard!A:A,0))</f>
        <v/>
      </c>
      <c r="K8" s="2">
        <f>I8*J8</f>
        <v/>
      </c>
    </row>
    <row r="9">
      <c r="A9" t="inlineStr">
        <is>
          <t>DevOps Engineer</t>
        </is>
      </c>
      <c r="B9" t="n">
        <v>0.5</v>
      </c>
      <c r="C9" t="n">
        <v>0.5</v>
      </c>
      <c r="D9" t="n">
        <v>1</v>
      </c>
      <c r="E9" t="n">
        <v>1</v>
      </c>
      <c r="F9" t="n">
        <v>0.5</v>
      </c>
      <c r="G9" t="n">
        <v>0.5</v>
      </c>
      <c r="H9" t="inlineStr"/>
      <c r="I9" s="2">
        <f>B9*3+C9*3+D9*3+E9*3+F9*3+G9*1</f>
        <v/>
      </c>
      <c r="J9" s="2">
        <f>INDEX(RateCard!B:B,MATCH(A9,RateCard!A:A,0))</f>
        <v/>
      </c>
      <c r="K9" s="2">
        <f>I9*J9</f>
        <v/>
      </c>
    </row>
    <row r="10">
      <c r="A10" t="inlineStr">
        <is>
          <t>BA / Domain SME</t>
        </is>
      </c>
      <c r="B10" t="n">
        <v>0.5</v>
      </c>
      <c r="C10" t="n">
        <v>0.5</v>
      </c>
      <c r="D10" t="n">
        <v>0.5</v>
      </c>
      <c r="E10" t="n">
        <v>0.5</v>
      </c>
      <c r="F10" t="n">
        <v>0</v>
      </c>
      <c r="G10" t="n">
        <v>0.5</v>
      </c>
      <c r="H10" t="inlineStr"/>
      <c r="I10" s="2">
        <f>B10*3+C10*3+D10*3+E10*3+F10*3+G10*1</f>
        <v/>
      </c>
      <c r="J10" s="2">
        <f>INDEX(RateCard!B:B,MATCH(A10,RateCard!A:A,0))</f>
        <v/>
      </c>
      <c r="K10" s="2">
        <f>I10*J10</f>
        <v/>
      </c>
    </row>
    <row r="11">
      <c r="A11" s="4" t="inlineStr">
        <is>
          <t>Total FTE / window</t>
        </is>
      </c>
      <c r="B11" s="4">
        <f>SUM(B2:B10)</f>
        <v/>
      </c>
      <c r="C11" s="4">
        <f>SUM(C2:C10)</f>
        <v/>
      </c>
      <c r="D11" s="4">
        <f>SUM(D2:D10)</f>
        <v/>
      </c>
      <c r="E11" s="4">
        <f>SUM(E2:E10)</f>
        <v/>
      </c>
      <c r="F11" s="4">
        <f>SUM(F2:F10)</f>
        <v/>
      </c>
      <c r="G11" s="4">
        <f>SUM(G2:G10)</f>
        <v/>
      </c>
      <c r="H11" s="4" t="inlineStr"/>
      <c r="I11" s="6">
        <f>SUM(I2:I10)</f>
        <v/>
      </c>
      <c r="J11" s="6" t="inlineStr"/>
      <c r="K11" s="6">
        <f>SUM(K2:K10)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16" customWidth="1" min="3" max="3"/>
  </cols>
  <sheetData>
    <row r="1">
      <c r="A1" s="1" t="inlineStr">
        <is>
          <t>Line</t>
        </is>
      </c>
      <c r="B1" s="1" t="inlineStr">
        <is>
          <t>Basis</t>
        </is>
      </c>
      <c r="C1" s="1" t="inlineStr">
        <is>
          <t>USD</t>
        </is>
      </c>
    </row>
    <row r="2">
      <c r="A2" t="inlineStr">
        <is>
          <t>Programme effort cost</t>
        </is>
      </c>
      <c r="B2" t="inlineStr">
        <is>
          <t>TeamPlan role mix × RateCard</t>
        </is>
      </c>
      <c r="C2" s="2">
        <f>TeamPlan!K11</f>
        <v/>
      </c>
    </row>
    <row r="3">
      <c r="A3" t="inlineStr">
        <is>
          <t>Contingency</t>
        </is>
      </c>
      <c r="B3" t="inlineStr">
        <is>
          <t>Rate below on effort cost</t>
        </is>
      </c>
      <c r="C3" s="2">
        <f>C2*B5</f>
        <v/>
      </c>
    </row>
    <row r="4">
      <c r="A4" s="4" t="inlineStr">
        <is>
          <t>Indicative programme total</t>
        </is>
      </c>
      <c r="B4" s="4" t="inlineStr"/>
      <c r="C4" s="6">
        <f>C2+C3</f>
        <v/>
      </c>
    </row>
    <row r="5">
      <c r="A5" t="inlineStr">
        <is>
          <t>Contingency rate</t>
        </is>
      </c>
      <c r="B5" s="7" t="inlineStr">
        <is>
          <t>editable</t>
        </is>
      </c>
      <c r="C5" t="n">
        <v>0.12</v>
      </c>
    </row>
    <row r="7">
      <c r="A7" t="inlineStr">
        <is>
          <t>Blended rate check</t>
        </is>
      </c>
      <c r="B7" s="2" t="inlineStr">
        <is>
          <t>USD per person-month</t>
        </is>
      </c>
      <c r="C7">
        <f>C2/TeamPlan!I11</f>
        <v/>
      </c>
    </row>
    <row r="9">
      <c r="A9" t="inlineStr">
        <is>
          <t>Excluded — passed through at cost:</t>
        </is>
      </c>
      <c r="B9" t="inlineStr"/>
    </row>
    <row r="10">
      <c r="A10" t="inlineStr">
        <is>
          <t xml:space="preserve">  · Azure consumption and licences</t>
        </is>
      </c>
    </row>
    <row r="11">
      <c r="A11" t="inlineStr">
        <is>
          <t xml:space="preserve">  · AI model usage</t>
        </is>
      </c>
    </row>
    <row r="12">
      <c r="A12" t="inlineStr">
        <is>
          <t xml:space="preserve">  · Penetration-testing vendors</t>
        </is>
      </c>
    </row>
    <row r="13">
      <c r="A13" t="inlineStr">
        <is>
          <t xml:space="preserve">  · UAE PASS / ICP / payment-gateway / data-provider onboarding fees</t>
        </is>
      </c>
    </row>
    <row r="14">
      <c r="A14" t="inlineStr">
        <is>
          <t xml:space="preserve">  · Travel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2026-08-28T09:56:25Z</dcterms:created>
  <dcterms:modified xmlns:dcterms="http://purl.org/dc/terms/" xmlns:xsi="http://www.w3.org/2001/XMLSchema-instance" xsi:type="dcterms:W3CDTF">2026-08-28T09:56:25Z</dcterms:modified>
</cp:coreProperties>
</file>