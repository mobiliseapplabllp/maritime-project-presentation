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ashish/Claude/Projects/maritime-project-presentation/rfp-response/"/>
    </mc:Choice>
  </mc:AlternateContent>
  <xr:revisionPtr revIDLastSave="0" documentId="13_ncr:1_{3248BD85-85E7-1F48-8D10-52CD90531755}" xr6:coauthVersionLast="47" xr6:coauthVersionMax="47" xr10:uidLastSave="{00000000-0000-0000-0000-000000000000}"/>
  <bookViews>
    <workbookView xWindow="20" yWindow="600" windowWidth="27040" windowHeight="15800" xr2:uid="{00000000-000D-0000-FFFF-FFFF00000000}"/>
  </bookViews>
  <sheets>
    <sheet name="Summary" sheetId="6" r:id="rId1"/>
    <sheet name="RateCards" sheetId="1" r:id="rId2"/>
    <sheet name="DeltaDev" sheetId="2" r:id="rId3"/>
    <sheet name="AMC" sheetId="3" r:id="rId4"/>
    <sheet name="TravelLodging" sheetId="4" r:id="rId5"/>
    <sheet name="OtherCosts" sheetId="5" r:id="rId6"/>
    <sheet name="Milestone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6" l="1"/>
  <c r="D11" i="7"/>
  <c r="C7" i="5"/>
  <c r="E5" i="4"/>
  <c r="E2" i="4"/>
  <c r="D6" i="3"/>
  <c r="F6" i="3" s="1"/>
  <c r="D5" i="3"/>
  <c r="F5" i="3" s="1"/>
  <c r="D4" i="3"/>
  <c r="F4" i="3" s="1"/>
  <c r="D3" i="3"/>
  <c r="F3" i="3" s="1"/>
  <c r="D2" i="3"/>
  <c r="F2" i="3" s="1"/>
  <c r="F8" i="3" s="1"/>
  <c r="G11" i="2"/>
  <c r="F11" i="2"/>
  <c r="E11" i="2"/>
  <c r="D11" i="2"/>
  <c r="C11" i="2"/>
  <c r="B11" i="2"/>
  <c r="K10" i="2"/>
  <c r="M10" i="2" s="1"/>
  <c r="J10" i="2"/>
  <c r="L10" i="2" s="1"/>
  <c r="N10" i="2" s="1"/>
  <c r="H10" i="2"/>
  <c r="H9" i="2"/>
  <c r="K9" i="2" s="1"/>
  <c r="M9" i="2" s="1"/>
  <c r="H8" i="2"/>
  <c r="J8" i="2" s="1"/>
  <c r="L8" i="2" s="1"/>
  <c r="H7" i="2"/>
  <c r="K7" i="2" s="1"/>
  <c r="M7" i="2" s="1"/>
  <c r="K6" i="2"/>
  <c r="M6" i="2" s="1"/>
  <c r="H6" i="2"/>
  <c r="J6" i="2" s="1"/>
  <c r="L6" i="2" s="1"/>
  <c r="N6" i="2" s="1"/>
  <c r="L5" i="2"/>
  <c r="K5" i="2"/>
  <c r="M5" i="2" s="1"/>
  <c r="J5" i="2"/>
  <c r="H5" i="2"/>
  <c r="H4" i="2"/>
  <c r="K4" i="2" s="1"/>
  <c r="M4" i="2" s="1"/>
  <c r="H3" i="2"/>
  <c r="J3" i="2" s="1"/>
  <c r="L3" i="2" s="1"/>
  <c r="H2" i="2"/>
  <c r="K2" i="2" s="1"/>
  <c r="C9" i="6"/>
  <c r="C8" i="6"/>
  <c r="C7" i="6"/>
  <c r="C5" i="6"/>
  <c r="N5" i="2" l="1"/>
  <c r="M2" i="2"/>
  <c r="K11" i="2"/>
  <c r="C10" i="6"/>
  <c r="D15" i="3"/>
  <c r="D14" i="3"/>
  <c r="D13" i="3"/>
  <c r="D12" i="3"/>
  <c r="N8" i="2"/>
  <c r="N3" i="2"/>
  <c r="J4" i="2"/>
  <c r="L4" i="2" s="1"/>
  <c r="N4" i="2" s="1"/>
  <c r="J9" i="2"/>
  <c r="L9" i="2" s="1"/>
  <c r="N9" i="2" s="1"/>
  <c r="H11" i="2"/>
  <c r="J2" i="2"/>
  <c r="J7" i="2"/>
  <c r="L7" i="2" s="1"/>
  <c r="N7" i="2" s="1"/>
  <c r="K3" i="2"/>
  <c r="M3" i="2" s="1"/>
  <c r="K8" i="2"/>
  <c r="M8" i="2" s="1"/>
  <c r="L2" i="2" l="1"/>
  <c r="J11" i="2"/>
  <c r="E1" i="7"/>
  <c r="E17" i="7"/>
  <c r="E16" i="7"/>
  <c r="E15" i="7"/>
  <c r="E14" i="7"/>
  <c r="M11" i="2"/>
  <c r="B3" i="4" l="1"/>
  <c r="E3" i="4" s="1"/>
  <c r="E6" i="4" s="1"/>
  <c r="C6" i="6" s="1"/>
  <c r="I12" i="2"/>
  <c r="E3" i="7"/>
  <c r="E10" i="7"/>
  <c r="E9" i="7"/>
  <c r="E8" i="7"/>
  <c r="E7" i="7"/>
  <c r="E6" i="7"/>
  <c r="E5" i="7"/>
  <c r="E4" i="7"/>
  <c r="N2" i="2"/>
  <c r="N11" i="2" s="1"/>
  <c r="C3" i="6" s="1"/>
  <c r="L11" i="2"/>
  <c r="C2" i="6" l="1"/>
  <c r="E11" i="7"/>
  <c r="E18" i="7" s="1"/>
  <c r="E19" i="7" s="1"/>
  <c r="C11" i="6" l="1"/>
</calcChain>
</file>

<file path=xl/sharedStrings.xml><?xml version="1.0" encoding="utf-8"?>
<sst xmlns="http://schemas.openxmlformats.org/spreadsheetml/2006/main" count="169" uniqueCount="144">
  <si>
    <t>Commercial construct — two-year delivery envelope + one-year AMC</t>
  </si>
  <si>
    <t>USD</t>
  </si>
  <si>
    <t>1 · Platform licence (the built platform, both portals)</t>
  </si>
  <si>
    <t>Derived: target minus all other components — see implied effort below</t>
  </si>
  <si>
    <t>2 · Delta development (70:30 offshore/onshore)</t>
  </si>
  <si>
    <t>218 person-months per DeltaDev</t>
  </si>
  <si>
    <t>3 · Contingency on development</t>
  </si>
  <si>
    <t>Rate below</t>
  </si>
  <si>
    <t>4 · Training delivery (non-labour)</t>
  </si>
  <si>
    <t>OtherCosts</t>
  </si>
  <si>
    <t>5 · Travel, lodging &amp; boarding</t>
  </si>
  <si>
    <t>TravelLodging</t>
  </si>
  <si>
    <t>6 · Software licences &amp; tooling</t>
  </si>
  <si>
    <t>7 · Local compliance &amp; certification</t>
  </si>
  <si>
    <t>8 · Miscellaneous &amp; mobilisation + optional cloud</t>
  </si>
  <si>
    <t>9 · AMC — Year 1</t>
  </si>
  <si>
    <t>AMC sheet (per-year price; client may extend at the escalation table)</t>
  </si>
  <si>
    <t>TOTAL</t>
  </si>
  <si>
    <t>Fixed commercial target</t>
  </si>
  <si>
    <t>Contingency rate</t>
  </si>
  <si>
    <t>editable</t>
  </si>
  <si>
    <t>Role</t>
  </si>
  <si>
    <t>Offshore rate (USD/mo)</t>
  </si>
  <si>
    <t>Onshore UAE rate (USD/mo)</t>
  </si>
  <si>
    <t>Notes</t>
  </si>
  <si>
    <t>Programme Manager</t>
  </si>
  <si>
    <t>Client-facing governance — onshore-led</t>
  </si>
  <si>
    <t>Solution Architect</t>
  </si>
  <si>
    <t>Onshore for design and drop windows</t>
  </si>
  <si>
    <t>Technical Lead</t>
  </si>
  <si>
    <t>Workstream leads; onshore rotations</t>
  </si>
  <si>
    <t>Senior Engineer</t>
  </si>
  <si>
    <t>Platform and domain services</t>
  </si>
  <si>
    <t>Engineer</t>
  </si>
  <si>
    <t>Feature build — offshore</t>
  </si>
  <si>
    <t>AI/ML Engineer</t>
  </si>
  <si>
    <t>Agents, models, evaluation</t>
  </si>
  <si>
    <t>QA Engineer</t>
  </si>
  <si>
    <t>Automation-first; onshore for UAT</t>
  </si>
  <si>
    <t>DevOps Engineer</t>
  </si>
  <si>
    <t>Chassis, CI/CD, environments</t>
  </si>
  <si>
    <t>BA / Domain SME</t>
  </si>
  <si>
    <t>Ministry workshops, UAT — onshore-led</t>
  </si>
  <si>
    <t>Support Engineer (AMC L2/L3)</t>
  </si>
  <si>
    <t>Post-go-live support pod</t>
  </si>
  <si>
    <t>Service Delivery Manager (AMC)</t>
  </si>
  <si>
    <t>AMC governance, SLA reporting</t>
  </si>
  <si>
    <t>NOTE: onshore rates are labour only — lodging, boarding and travel are costed separately in this model.</t>
  </si>
  <si>
    <t>Role (FTE per window)</t>
  </si>
  <si>
    <t>M0–M2</t>
  </si>
  <si>
    <t>M3–M5</t>
  </si>
  <si>
    <t>M6–M8</t>
  </si>
  <si>
    <t>M9–M11</t>
  </si>
  <si>
    <t>M12–M14</t>
  </si>
  <si>
    <t>M15</t>
  </si>
  <si>
    <t>Person-months</t>
  </si>
  <si>
    <t>Onshore share</t>
  </si>
  <si>
    <t>Onshore MM</t>
  </si>
  <si>
    <t>Offshore MM</t>
  </si>
  <si>
    <t>Onshore cost</t>
  </si>
  <si>
    <t>Offshore cost</t>
  </si>
  <si>
    <t>Role cost</t>
  </si>
  <si>
    <t>Total</t>
  </si>
  <si>
    <t>Onshore share of MM (target 30%)</t>
  </si>
  <si>
    <t>AMC support pod (per year)</t>
  </si>
  <si>
    <t>FTE</t>
  </si>
  <si>
    <t>Location</t>
  </si>
  <si>
    <t>Rate (USD/mo)</t>
  </si>
  <si>
    <t>Months</t>
  </si>
  <si>
    <t>Cost (USD)</t>
  </si>
  <si>
    <t>Offshore</t>
  </si>
  <si>
    <t>Onshore</t>
  </si>
  <si>
    <t>Tooling, monitoring &amp; SLA reporting stack</t>
  </si>
  <si>
    <t>AMC Year-1 price</t>
  </si>
  <si>
    <t>Covers: 24/7 P1 support per RFP §6.1 SLAs · model drift monitoring (§6.6) · quarterly AI adoption reporting (D12) · patches per §6.5 clocks</t>
  </si>
  <si>
    <t>Extension pricing (client option):</t>
  </si>
  <si>
    <t>Years</t>
  </si>
  <si>
    <t>Escalation p.a.</t>
  </si>
  <si>
    <t>Price</t>
  </si>
  <si>
    <t xml:space="preserve">  Year 2</t>
  </si>
  <si>
    <t xml:space="preserve">  Year 3</t>
  </si>
  <si>
    <t xml:space="preserve">  Year 4</t>
  </si>
  <si>
    <t xml:space="preserve">  Year 5</t>
  </si>
  <si>
    <t>AMC Year 1 runs twelve months from hypercare exit (end M18); instalments are billed quarterly in arrears from that date.</t>
  </si>
  <si>
    <t>Item</t>
  </si>
  <si>
    <t>Qty</t>
  </si>
  <si>
    <t>Unit</t>
  </si>
  <si>
    <t>Rate (USD)</t>
  </si>
  <si>
    <t>Return flights (rotations, mobilisation, leadership reviews)</t>
  </si>
  <si>
    <t>trips</t>
  </si>
  <si>
    <t>Lodging &amp; boarding — onshore stays</t>
  </si>
  <si>
    <t>person-months</t>
  </si>
  <si>
    <t>Local transport &amp; UAE mobility</t>
  </si>
  <si>
    <t>lump sum</t>
  </si>
  <si>
    <t>Visas &amp; work permits</t>
  </si>
  <si>
    <t>permits</t>
  </si>
  <si>
    <t>Total travel, lodging &amp; boarding</t>
  </si>
  <si>
    <t>Lodging basis: serviced apartment ~2,700 + boarding per-diem ~970 per onshore person-month. Onshore labour rates in RateCards exclude these.</t>
  </si>
  <si>
    <t>Detail</t>
  </si>
  <si>
    <t>Training delivery (non-labour)</t>
  </si>
  <si>
    <t>Bilingual AR/EN materials, translation, training lab environments, venues; trainer effort is inside the development estimate (D10)</t>
  </si>
  <si>
    <t>Software licences &amp; tooling (delivery period)</t>
  </si>
  <si>
    <t>APM/monitoring, code quality, test &amp; load tooling, design/collab licences for the programme team</t>
  </si>
  <si>
    <t>Local compliance &amp; certification</t>
  </si>
  <si>
    <t>UAE-accredited VAPT (annual, §6.5), TDRA accessibility audit (§5.9), PDPL/data-residency advisory, security-standards alignment (§7.4)</t>
  </si>
  <si>
    <t>Miscellaneous &amp; mobilisation</t>
  </si>
  <si>
    <t>Insurance, communications, logistics, workspace, mobilisation/demobilisation</t>
  </si>
  <si>
    <t>Cloud consumption (optional — default client-side)</t>
  </si>
  <si>
    <t>Azure subscription assumed held by the Authority; set a value here only if vendor-carried</t>
  </si>
  <si>
    <t>Total other costs</t>
  </si>
  <si>
    <t>Payment schedule</t>
  </si>
  <si>
    <t>Delivery price (total minus AMC):</t>
  </si>
  <si>
    <t>#</t>
  </si>
  <si>
    <t>Milestone</t>
  </si>
  <si>
    <t>When</t>
  </si>
  <si>
    <t>Share</t>
  </si>
  <si>
    <t>Contract signature &amp; mobilisation</t>
  </si>
  <si>
    <t>M0</t>
  </si>
  <si>
    <t>Architecture &amp; design baseline (D1) accepted</t>
  </si>
  <si>
    <t>M5</t>
  </si>
  <si>
    <t>Drop 1 accepted — MDM, Ships, Legislation; A1/A3/A4/A6; UAE PASS</t>
  </si>
  <si>
    <t>M7</t>
  </si>
  <si>
    <t>Drop 2 accepted — Seafarers, NMC live feeds, Smart Inspection + inspector app; A2/A5/A7</t>
  </si>
  <si>
    <t>M11</t>
  </si>
  <si>
    <t>Drop 3 accepted — Ports, Facilities, Revenue + gateway; dashboards; customer app; LCNC GA</t>
  </si>
  <si>
    <t>M14</t>
  </si>
  <si>
    <t>Migration approved &amp; UAT complete</t>
  </si>
  <si>
    <t>Go-Live (T0)</t>
  </si>
  <si>
    <t>end M15</t>
  </si>
  <si>
    <t>Hypercare exit &amp; operational handover</t>
  </si>
  <si>
    <t>M18</t>
  </si>
  <si>
    <t>Delivery milestones total</t>
  </si>
  <si>
    <t>AMC Year 1 — billed quarterly in arrears from AMC start (hypercare exit, end M18)</t>
  </si>
  <si>
    <t xml:space="preserve">  Quarter 1</t>
  </si>
  <si>
    <t>AMC month 1–3</t>
  </si>
  <si>
    <t xml:space="preserve">  Quarter 2</t>
  </si>
  <si>
    <t>AMC month 4–6</t>
  </si>
  <si>
    <t xml:space="preserve">  Quarter 3</t>
  </si>
  <si>
    <t>AMC month 7–9</t>
  </si>
  <si>
    <t xml:space="preserve">  Quarter 4</t>
  </si>
  <si>
    <t>AMC month 10–12</t>
  </si>
  <si>
    <t>GRAND TOTAL — delivery + AMC Year 1</t>
  </si>
  <si>
    <t>Check vs target price (should be 0)</t>
  </si>
  <si>
    <t>Total Final Commercials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</si>
</sst>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#,##0;\(#,##0\);\-"/>
    <numFmt numFmtId="166" formatCode="0.0%"/>
  </numFmts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color rgb="FF008000"/>
      <name val="Calibri"/>
      <family val="2"/>
      <scheme val="minor"/>
    </font>
    <font>
      <b/>
      <sz val="11"/>
      <color rgb="FF0000FF"/>
      <name val="Calibri"/>
      <family val="2"/>
    </font>
    <font>
      <sz val="11"/>
      <color rgb="FF0000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8000"/>
      <name val="Calibri"/>
      <family val="2"/>
      <scheme val="minor"/>
    </font>
    <font>
      <i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E7C86"/>
        <bgColor indexed="64"/>
      </patternFill>
    </fill>
    <fill>
      <patternFill patternType="solid">
        <fgColor rgb="FFE7F1F2"/>
        <bgColor indexed="64"/>
      </patternFill>
    </fill>
    <fill>
      <patternFill patternType="solid">
        <fgColor rgb="FFFFF3D6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/>
      <top style="thin">
        <color rgb="FF0E7C86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right" vertical="center" wrapText="1"/>
    </xf>
    <xf numFmtId="0" fontId="1" fillId="2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 wrapText="1"/>
    </xf>
    <xf numFmtId="165" fontId="3" fillId="0" borderId="3" xfId="0" applyNumberFormat="1" applyFont="1" applyBorder="1" applyAlignment="1">
      <alignment vertical="center" wrapText="1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 wrapText="1"/>
    </xf>
    <xf numFmtId="165" fontId="4" fillId="0" borderId="6" xfId="0" applyNumberFormat="1" applyFont="1" applyBorder="1" applyAlignment="1">
      <alignment vertical="center" wrapText="1"/>
    </xf>
    <xf numFmtId="165" fontId="3" fillId="0" borderId="6" xfId="0" applyNumberFormat="1" applyFont="1" applyBorder="1" applyAlignment="1">
      <alignment vertical="center" wrapText="1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 wrapText="1"/>
    </xf>
    <xf numFmtId="165" fontId="4" fillId="0" borderId="9" xfId="0" applyNumberFormat="1" applyFont="1" applyBorder="1" applyAlignment="1">
      <alignment vertical="center" wrapText="1"/>
    </xf>
    <xf numFmtId="0" fontId="2" fillId="3" borderId="10" xfId="0" applyFont="1" applyFill="1" applyBorder="1" applyAlignment="1">
      <alignment vertical="center"/>
    </xf>
    <xf numFmtId="0" fontId="2" fillId="3" borderId="10" xfId="0" applyFont="1" applyFill="1" applyBorder="1" applyAlignment="1">
      <alignment vertical="center" wrapText="1"/>
    </xf>
    <xf numFmtId="165" fontId="2" fillId="3" borderId="10" xfId="0" applyNumberFormat="1" applyFont="1" applyFill="1" applyBorder="1" applyAlignment="1">
      <alignment vertical="center" wrapText="1"/>
    </xf>
    <xf numFmtId="0" fontId="9" fillId="0" borderId="0" xfId="0" applyFont="1" applyAlignment="1">
      <alignment vertical="center" wrapText="1"/>
    </xf>
    <xf numFmtId="166" fontId="6" fillId="0" borderId="0" xfId="0" applyNumberFormat="1" applyFont="1" applyAlignment="1">
      <alignment vertical="center"/>
    </xf>
    <xf numFmtId="165" fontId="3" fillId="0" borderId="0" xfId="0" applyNumberFormat="1" applyFont="1" applyAlignment="1">
      <alignment vertical="center"/>
    </xf>
    <xf numFmtId="164" fontId="6" fillId="0" borderId="2" xfId="0" applyNumberFormat="1" applyFont="1" applyBorder="1" applyAlignment="1">
      <alignment vertical="center"/>
    </xf>
    <xf numFmtId="165" fontId="4" fillId="0" borderId="2" xfId="0" applyNumberFormat="1" applyFont="1" applyBorder="1" applyAlignment="1">
      <alignment vertical="center"/>
    </xf>
    <xf numFmtId="165" fontId="3" fillId="0" borderId="3" xfId="0" applyNumberFormat="1" applyFont="1" applyBorder="1" applyAlignment="1">
      <alignment vertical="center"/>
    </xf>
    <xf numFmtId="164" fontId="6" fillId="0" borderId="5" xfId="0" applyNumberFormat="1" applyFont="1" applyBorder="1" applyAlignment="1">
      <alignment vertical="center"/>
    </xf>
    <xf numFmtId="165" fontId="4" fillId="0" borderId="5" xfId="0" applyNumberFormat="1" applyFont="1" applyBorder="1" applyAlignment="1">
      <alignment vertical="center"/>
    </xf>
    <xf numFmtId="165" fontId="3" fillId="0" borderId="6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166" fontId="9" fillId="0" borderId="0" xfId="0" applyNumberFormat="1" applyFont="1" applyAlignment="1">
      <alignment vertical="center"/>
    </xf>
    <xf numFmtId="0" fontId="3" fillId="0" borderId="2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165" fontId="3" fillId="0" borderId="8" xfId="0" applyNumberFormat="1" applyFont="1" applyBorder="1" applyAlignment="1">
      <alignment vertical="center"/>
    </xf>
    <xf numFmtId="165" fontId="6" fillId="0" borderId="9" xfId="0" applyNumberFormat="1" applyFont="1" applyBorder="1" applyAlignment="1">
      <alignment vertical="center"/>
    </xf>
    <xf numFmtId="3" fontId="2" fillId="3" borderId="10" xfId="0" applyNumberFormat="1" applyFont="1" applyFill="1" applyBorder="1" applyAlignment="1">
      <alignment vertical="center"/>
    </xf>
    <xf numFmtId="0" fontId="7" fillId="0" borderId="0" xfId="0" applyFont="1" applyAlignment="1">
      <alignment vertical="center" wrapText="1"/>
    </xf>
    <xf numFmtId="0" fontId="1" fillId="2" borderId="11" xfId="0" applyFont="1" applyFill="1" applyBorder="1" applyAlignment="1">
      <alignment vertical="center"/>
    </xf>
    <xf numFmtId="0" fontId="3" fillId="0" borderId="11" xfId="0" applyFont="1" applyBorder="1" applyAlignment="1">
      <alignment vertical="center"/>
    </xf>
    <xf numFmtId="165" fontId="6" fillId="0" borderId="11" xfId="0" applyNumberFormat="1" applyFont="1" applyBorder="1" applyAlignment="1">
      <alignment vertical="center"/>
    </xf>
    <xf numFmtId="0" fontId="3" fillId="0" borderId="11" xfId="0" applyFont="1" applyBorder="1" applyAlignment="1">
      <alignment vertical="center" wrapText="1"/>
    </xf>
    <xf numFmtId="0" fontId="1" fillId="2" borderId="11" xfId="0" applyFont="1" applyFill="1" applyBorder="1" applyAlignment="1">
      <alignment horizontal="center" vertical="center"/>
    </xf>
    <xf numFmtId="164" fontId="6" fillId="0" borderId="11" xfId="0" applyNumberFormat="1" applyFont="1" applyBorder="1" applyAlignment="1">
      <alignment vertical="center"/>
    </xf>
    <xf numFmtId="164" fontId="3" fillId="0" borderId="11" xfId="0" applyNumberFormat="1" applyFont="1" applyBorder="1" applyAlignment="1">
      <alignment vertical="center"/>
    </xf>
    <xf numFmtId="166" fontId="6" fillId="0" borderId="11" xfId="0" applyNumberFormat="1" applyFont="1" applyBorder="1" applyAlignment="1">
      <alignment vertical="center"/>
    </xf>
    <xf numFmtId="165" fontId="4" fillId="0" borderId="11" xfId="0" applyNumberFormat="1" applyFont="1" applyBorder="1" applyAlignment="1">
      <alignment vertical="center"/>
    </xf>
    <xf numFmtId="165" fontId="3" fillId="0" borderId="11" xfId="0" applyNumberFormat="1" applyFont="1" applyBorder="1" applyAlignment="1">
      <alignment vertical="center"/>
    </xf>
    <xf numFmtId="0" fontId="2" fillId="3" borderId="11" xfId="0" applyFont="1" applyFill="1" applyBorder="1" applyAlignment="1">
      <alignment vertical="center"/>
    </xf>
    <xf numFmtId="164" fontId="2" fillId="3" borderId="11" xfId="0" applyNumberFormat="1" applyFont="1" applyFill="1" applyBorder="1" applyAlignment="1">
      <alignment vertical="center"/>
    </xf>
    <xf numFmtId="166" fontId="2" fillId="3" borderId="11" xfId="0" applyNumberFormat="1" applyFont="1" applyFill="1" applyBorder="1" applyAlignment="1">
      <alignment vertical="center"/>
    </xf>
    <xf numFmtId="165" fontId="2" fillId="3" borderId="11" xfId="0" applyNumberFormat="1" applyFont="1" applyFill="1" applyBorder="1" applyAlignment="1">
      <alignment vertical="center"/>
    </xf>
    <xf numFmtId="164" fontId="4" fillId="0" borderId="11" xfId="0" applyNumberFormat="1" applyFont="1" applyBorder="1" applyAlignment="1">
      <alignment vertical="center"/>
    </xf>
    <xf numFmtId="3" fontId="2" fillId="3" borderId="11" xfId="0" applyNumberFormat="1" applyFont="1" applyFill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165" fontId="8" fillId="0" borderId="11" xfId="0" applyNumberFormat="1" applyFont="1" applyBorder="1" applyAlignment="1">
      <alignment vertical="center"/>
    </xf>
    <xf numFmtId="0" fontId="6" fillId="0" borderId="11" xfId="0" applyFont="1" applyBorder="1" applyAlignment="1">
      <alignment horizontal="center" vertical="center"/>
    </xf>
    <xf numFmtId="0" fontId="7" fillId="3" borderId="11" xfId="0" applyFont="1" applyFill="1" applyBorder="1" applyAlignment="1">
      <alignment vertical="center"/>
    </xf>
    <xf numFmtId="0" fontId="2" fillId="3" borderId="11" xfId="0" applyFont="1" applyFill="1" applyBorder="1" applyAlignment="1">
      <alignment vertical="center" wrapText="1"/>
    </xf>
    <xf numFmtId="166" fontId="7" fillId="3" borderId="11" xfId="0" applyNumberFormat="1" applyFont="1" applyFill="1" applyBorder="1" applyAlignment="1">
      <alignment vertical="center"/>
    </xf>
    <xf numFmtId="0" fontId="2" fillId="0" borderId="11" xfId="0" applyFont="1" applyBorder="1" applyAlignment="1">
      <alignment vertical="center" wrapText="1"/>
    </xf>
    <xf numFmtId="0" fontId="9" fillId="0" borderId="11" xfId="0" applyFont="1" applyBorder="1" applyAlignment="1">
      <alignment vertical="center"/>
    </xf>
    <xf numFmtId="0" fontId="7" fillId="4" borderId="11" xfId="0" applyFont="1" applyFill="1" applyBorder="1" applyAlignment="1">
      <alignment vertical="center"/>
    </xf>
    <xf numFmtId="0" fontId="2" fillId="4" borderId="11" xfId="0" applyFont="1" applyFill="1" applyBorder="1" applyAlignment="1">
      <alignment vertical="center" wrapText="1"/>
    </xf>
    <xf numFmtId="165" fontId="2" fillId="4" borderId="11" xfId="0" applyNumberFormat="1" applyFont="1" applyFill="1" applyBorder="1" applyAlignment="1">
      <alignment vertical="center"/>
    </xf>
    <xf numFmtId="0" fontId="2" fillId="4" borderId="11" xfId="0" applyFont="1" applyFill="1" applyBorder="1" applyAlignment="1">
      <alignment vertical="center"/>
    </xf>
    <xf numFmtId="165" fontId="5" fillId="4" borderId="11" xfId="0" applyNumberFormat="1" applyFont="1" applyFill="1" applyBorder="1" applyAlignment="1">
      <alignment vertical="center" wrapText="1"/>
    </xf>
    <xf numFmtId="166" fontId="6" fillId="0" borderId="11" xfId="0" applyNumberFormat="1" applyFont="1" applyBorder="1" applyAlignment="1">
      <alignment vertical="center" wrapText="1"/>
    </xf>
  </cellXfs>
  <cellStyles count="1">
    <cellStyle name="Normal" xfId="0" builtinId="0"/>
  </cellStyles>
  <dxfs count="2">
    <dxf>
      <font>
        <b/>
        <i val="0"/>
        <color rgb="FFC00000"/>
      </font>
      <fill>
        <patternFill patternType="solid">
          <fgColor indexed="64"/>
          <bgColor rgb="FFFCE4E4"/>
        </patternFill>
      </fill>
    </dxf>
    <dxf>
      <font>
        <b/>
        <i val="0"/>
        <color rgb="FF1E6B2F"/>
      </font>
      <fill>
        <patternFill patternType="solid">
          <fgColor indexed="64"/>
          <bgColor rgb="FFE2F0D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E9E726D-1B9E-EC4C-BA9A-8F368EFC905E}">
  <we:reference id="29673e3c-d826-4f00-92ee-162334a52b1a" version="1.0.0.8" store="EXCatalog" storeType="EXCatalog"/>
  <we:alternateReferences>
    <we:reference id="WA200009404" version="1.0.0.8" store="en-GB" storeType="OMEX"/>
  </we:alternateReferences>
  <we:properties>
    <we:property name="claude.fileId" value="&quot;56deb179-2c3a-420a-a5e1-967e0c7f7f37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4"/>
  <sheetViews>
    <sheetView showGridLines="0" tabSelected="1" zoomScale="150" workbookViewId="0">
      <pane ySplit="1" topLeftCell="A2" activePane="bottomLeft" state="frozen"/>
      <selection pane="bottomLeft" activeCell="A8" sqref="A8"/>
    </sheetView>
  </sheetViews>
  <sheetFormatPr baseColWidth="10" defaultColWidth="8.83203125" defaultRowHeight="15" x14ac:dyDescent="0.2"/>
  <cols>
    <col min="1" max="1" width="50" style="1" customWidth="1"/>
    <col min="2" max="2" width="70" style="1" customWidth="1"/>
    <col min="3" max="3" width="18.33203125" style="1" customWidth="1"/>
    <col min="4" max="4" width="8.83203125" style="1" customWidth="1"/>
    <col min="5" max="16384" width="8.83203125" style="1"/>
  </cols>
  <sheetData>
    <row r="1" spans="1:3" ht="22" customHeight="1" x14ac:dyDescent="0.2">
      <c r="A1" s="7" t="s">
        <v>0</v>
      </c>
      <c r="B1" s="5"/>
      <c r="C1" s="6" t="s">
        <v>1</v>
      </c>
    </row>
    <row r="2" spans="1:3" ht="16" customHeight="1" x14ac:dyDescent="0.2">
      <c r="A2" s="9" t="s">
        <v>2</v>
      </c>
      <c r="B2" s="10" t="s">
        <v>3</v>
      </c>
      <c r="C2" s="11">
        <f>C13-SUM(C3:C10)</f>
        <v>1676563</v>
      </c>
    </row>
    <row r="3" spans="1:3" ht="16" customHeight="1" x14ac:dyDescent="0.2">
      <c r="A3" s="12" t="s">
        <v>4</v>
      </c>
      <c r="B3" s="13" t="s">
        <v>5</v>
      </c>
      <c r="C3" s="14">
        <f>DeltaDev!N11</f>
        <v>2171290</v>
      </c>
    </row>
    <row r="4" spans="1:3" ht="16" customHeight="1" x14ac:dyDescent="0.2">
      <c r="A4" s="12" t="s">
        <v>6</v>
      </c>
      <c r="B4" s="13" t="s">
        <v>7</v>
      </c>
      <c r="C4" s="15">
        <f>C3*C14</f>
        <v>217129</v>
      </c>
    </row>
    <row r="5" spans="1:3" ht="16" customHeight="1" x14ac:dyDescent="0.2">
      <c r="A5" s="12" t="s">
        <v>8</v>
      </c>
      <c r="B5" s="13" t="s">
        <v>9</v>
      </c>
      <c r="C5" s="14">
        <f>OtherCosts!C2</f>
        <v>60000</v>
      </c>
    </row>
    <row r="6" spans="1:3" ht="16" customHeight="1" x14ac:dyDescent="0.2">
      <c r="A6" s="12" t="s">
        <v>10</v>
      </c>
      <c r="B6" s="13" t="s">
        <v>11</v>
      </c>
      <c r="C6" s="14">
        <f>TravelLodging!E6</f>
        <v>372018</v>
      </c>
    </row>
    <row r="7" spans="1:3" ht="16" customHeight="1" x14ac:dyDescent="0.2">
      <c r="A7" s="12" t="s">
        <v>12</v>
      </c>
      <c r="B7" s="13" t="s">
        <v>9</v>
      </c>
      <c r="C7" s="14">
        <f>OtherCosts!C3</f>
        <v>160000</v>
      </c>
    </row>
    <row r="8" spans="1:3" ht="16" customHeight="1" x14ac:dyDescent="0.2">
      <c r="A8" s="12" t="s">
        <v>13</v>
      </c>
      <c r="B8" s="13" t="s">
        <v>9</v>
      </c>
      <c r="C8" s="14">
        <f>OtherCosts!C4</f>
        <v>95000</v>
      </c>
    </row>
    <row r="9" spans="1:3" ht="16" customHeight="1" x14ac:dyDescent="0.2">
      <c r="A9" s="12" t="s">
        <v>14</v>
      </c>
      <c r="B9" s="13" t="s">
        <v>9</v>
      </c>
      <c r="C9" s="14">
        <f>OtherCosts!C5+OtherCosts!C6</f>
        <v>80000</v>
      </c>
    </row>
    <row r="10" spans="1:3" ht="16" customHeight="1" x14ac:dyDescent="0.2">
      <c r="A10" s="16" t="s">
        <v>15</v>
      </c>
      <c r="B10" s="17" t="s">
        <v>16</v>
      </c>
      <c r="C10" s="18">
        <f>AMC!F8</f>
        <v>568000</v>
      </c>
    </row>
    <row r="11" spans="1:3" ht="16" customHeight="1" x14ac:dyDescent="0.2">
      <c r="A11" s="19" t="s">
        <v>17</v>
      </c>
      <c r="B11" s="20"/>
      <c r="C11" s="21">
        <f>SUM(C2:C10)</f>
        <v>5400000</v>
      </c>
    </row>
    <row r="12" spans="1:3" x14ac:dyDescent="0.2">
      <c r="A12" s="3"/>
      <c r="B12" s="2"/>
      <c r="C12" s="2"/>
    </row>
    <row r="13" spans="1:3" ht="16" x14ac:dyDescent="0.2">
      <c r="A13" s="70" t="s">
        <v>143</v>
      </c>
      <c r="B13" s="68" t="s">
        <v>18</v>
      </c>
      <c r="C13" s="71">
        <v>5400000</v>
      </c>
    </row>
    <row r="14" spans="1:3" ht="16" x14ac:dyDescent="0.2">
      <c r="A14" s="43" t="s">
        <v>19</v>
      </c>
      <c r="B14" s="45" t="s">
        <v>20</v>
      </c>
      <c r="C14" s="72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showGridLines="0" zoomScale="178" workbookViewId="0">
      <pane ySplit="1" topLeftCell="A2" activePane="bottomLeft" state="frozen"/>
      <selection pane="bottomLeft" activeCell="A6" sqref="A6"/>
    </sheetView>
  </sheetViews>
  <sheetFormatPr baseColWidth="10" defaultColWidth="8.83203125" defaultRowHeight="15" x14ac:dyDescent="0.2"/>
  <cols>
    <col min="1" max="1" width="35" customWidth="1"/>
    <col min="2" max="2" width="23.33203125" customWidth="1"/>
    <col min="3" max="3" width="25" customWidth="1"/>
    <col min="4" max="4" width="55" customWidth="1"/>
  </cols>
  <sheetData>
    <row r="1" spans="1:4" ht="22" customHeight="1" x14ac:dyDescent="0.2">
      <c r="A1" s="42" t="s">
        <v>21</v>
      </c>
      <c r="B1" s="42" t="s">
        <v>22</v>
      </c>
      <c r="C1" s="42" t="s">
        <v>23</v>
      </c>
      <c r="D1" s="42" t="s">
        <v>24</v>
      </c>
    </row>
    <row r="2" spans="1:4" ht="16" x14ac:dyDescent="0.2">
      <c r="A2" s="43" t="s">
        <v>25</v>
      </c>
      <c r="B2" s="44">
        <v>9500</v>
      </c>
      <c r="C2" s="44">
        <v>21000</v>
      </c>
      <c r="D2" s="45" t="s">
        <v>26</v>
      </c>
    </row>
    <row r="3" spans="1:4" ht="16" x14ac:dyDescent="0.2">
      <c r="A3" s="43" t="s">
        <v>27</v>
      </c>
      <c r="B3" s="44">
        <v>11000</v>
      </c>
      <c r="C3" s="44">
        <v>24000</v>
      </c>
      <c r="D3" s="45" t="s">
        <v>28</v>
      </c>
    </row>
    <row r="4" spans="1:4" ht="16" x14ac:dyDescent="0.2">
      <c r="A4" s="43" t="s">
        <v>29</v>
      </c>
      <c r="B4" s="44">
        <v>8000</v>
      </c>
      <c r="C4" s="44">
        <v>17500</v>
      </c>
      <c r="D4" s="45" t="s">
        <v>30</v>
      </c>
    </row>
    <row r="5" spans="1:4" ht="16" x14ac:dyDescent="0.2">
      <c r="A5" s="43" t="s">
        <v>31</v>
      </c>
      <c r="B5" s="44">
        <v>6500</v>
      </c>
      <c r="C5" s="44">
        <v>14500</v>
      </c>
      <c r="D5" s="45" t="s">
        <v>32</v>
      </c>
    </row>
    <row r="6" spans="1:4" ht="16" x14ac:dyDescent="0.2">
      <c r="A6" s="43" t="s">
        <v>33</v>
      </c>
      <c r="B6" s="44">
        <v>4800</v>
      </c>
      <c r="C6" s="44">
        <v>11000</v>
      </c>
      <c r="D6" s="45" t="s">
        <v>34</v>
      </c>
    </row>
    <row r="7" spans="1:4" ht="16" x14ac:dyDescent="0.2">
      <c r="A7" s="43" t="s">
        <v>35</v>
      </c>
      <c r="B7" s="44">
        <v>8500</v>
      </c>
      <c r="C7" s="44">
        <v>19000</v>
      </c>
      <c r="D7" s="45" t="s">
        <v>36</v>
      </c>
    </row>
    <row r="8" spans="1:4" ht="16" x14ac:dyDescent="0.2">
      <c r="A8" s="43" t="s">
        <v>37</v>
      </c>
      <c r="B8" s="44">
        <v>4200</v>
      </c>
      <c r="C8" s="44">
        <v>9500</v>
      </c>
      <c r="D8" s="45" t="s">
        <v>38</v>
      </c>
    </row>
    <row r="9" spans="1:4" ht="16" x14ac:dyDescent="0.2">
      <c r="A9" s="43" t="s">
        <v>39</v>
      </c>
      <c r="B9" s="44">
        <v>6500</v>
      </c>
      <c r="C9" s="44">
        <v>14500</v>
      </c>
      <c r="D9" s="45" t="s">
        <v>40</v>
      </c>
    </row>
    <row r="10" spans="1:4" ht="16" x14ac:dyDescent="0.2">
      <c r="A10" s="43" t="s">
        <v>41</v>
      </c>
      <c r="B10" s="44">
        <v>5500</v>
      </c>
      <c r="C10" s="44">
        <v>13000</v>
      </c>
      <c r="D10" s="45" t="s">
        <v>42</v>
      </c>
    </row>
    <row r="11" spans="1:4" ht="16" x14ac:dyDescent="0.2">
      <c r="A11" s="43" t="s">
        <v>43</v>
      </c>
      <c r="B11" s="44">
        <v>6500</v>
      </c>
      <c r="C11" s="44">
        <v>14500</v>
      </c>
      <c r="D11" s="45" t="s">
        <v>44</v>
      </c>
    </row>
    <row r="12" spans="1:4" ht="16" x14ac:dyDescent="0.2">
      <c r="A12" s="43" t="s">
        <v>45</v>
      </c>
      <c r="B12" s="44">
        <v>9500</v>
      </c>
      <c r="C12" s="44">
        <v>21000</v>
      </c>
      <c r="D12" s="45" t="s">
        <v>46</v>
      </c>
    </row>
    <row r="13" spans="1:4" x14ac:dyDescent="0.2">
      <c r="A13" s="3"/>
      <c r="B13" s="3"/>
      <c r="C13" s="3"/>
      <c r="D13" s="2"/>
    </row>
    <row r="14" spans="1:4" ht="48" x14ac:dyDescent="0.2">
      <c r="A14" s="22" t="s">
        <v>47</v>
      </c>
      <c r="B14" s="3"/>
      <c r="C14" s="3"/>
      <c r="D14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2"/>
  <sheetViews>
    <sheetView showGridLines="0" zoomScale="164" workbookViewId="0">
      <pane xSplit="1" topLeftCell="B1" activePane="topRight" state="frozen"/>
      <selection pane="topRight" activeCell="B4" sqref="B4"/>
    </sheetView>
  </sheetViews>
  <sheetFormatPr baseColWidth="10" defaultColWidth="8.83203125" defaultRowHeight="15" x14ac:dyDescent="0.2"/>
  <cols>
    <col min="1" max="1" width="31.6640625" customWidth="1"/>
    <col min="2" max="7" width="12" customWidth="1"/>
    <col min="8" max="11" width="14.6640625" customWidth="1"/>
    <col min="12" max="14" width="17" customWidth="1"/>
  </cols>
  <sheetData>
    <row r="1" spans="1:14" ht="22" customHeight="1" x14ac:dyDescent="0.2">
      <c r="A1" s="42" t="s">
        <v>48</v>
      </c>
      <c r="B1" s="46" t="s">
        <v>49</v>
      </c>
      <c r="C1" s="46" t="s">
        <v>50</v>
      </c>
      <c r="D1" s="46" t="s">
        <v>51</v>
      </c>
      <c r="E1" s="46" t="s">
        <v>52</v>
      </c>
      <c r="F1" s="46" t="s">
        <v>53</v>
      </c>
      <c r="G1" s="46" t="s">
        <v>54</v>
      </c>
      <c r="H1" s="46" t="s">
        <v>55</v>
      </c>
      <c r="I1" s="46" t="s">
        <v>56</v>
      </c>
      <c r="J1" s="46" t="s">
        <v>57</v>
      </c>
      <c r="K1" s="46" t="s">
        <v>58</v>
      </c>
      <c r="L1" s="46" t="s">
        <v>59</v>
      </c>
      <c r="M1" s="46" t="s">
        <v>60</v>
      </c>
      <c r="N1" s="46" t="s">
        <v>61</v>
      </c>
    </row>
    <row r="2" spans="1:14" x14ac:dyDescent="0.2">
      <c r="A2" s="43" t="s">
        <v>25</v>
      </c>
      <c r="B2" s="47">
        <v>1</v>
      </c>
      <c r="C2" s="47">
        <v>1</v>
      </c>
      <c r="D2" s="47">
        <v>1</v>
      </c>
      <c r="E2" s="47">
        <v>1</v>
      </c>
      <c r="F2" s="47">
        <v>1</v>
      </c>
      <c r="G2" s="47">
        <v>1</v>
      </c>
      <c r="H2" s="48">
        <f t="shared" ref="H2:H10" si="0">B2*3+C2*3+D2*3+E2*3+F2*3+G2*1</f>
        <v>16</v>
      </c>
      <c r="I2" s="49">
        <v>1</v>
      </c>
      <c r="J2" s="48">
        <f t="shared" ref="J2:J10" si="1">H2*I2</f>
        <v>16</v>
      </c>
      <c r="K2" s="48">
        <f t="shared" ref="K2:K10" si="2">H2*(1-I2)</f>
        <v>0</v>
      </c>
      <c r="L2" s="50">
        <f>J2*INDEX(RateCards!C:C,MATCH(A2,RateCards!A:A,0))</f>
        <v>336000</v>
      </c>
      <c r="M2" s="50">
        <f>K2*INDEX(RateCards!B:B,MATCH(A2,RateCards!A:A,0))</f>
        <v>0</v>
      </c>
      <c r="N2" s="51">
        <f t="shared" ref="N2:N10" si="3">L2+M2</f>
        <v>336000</v>
      </c>
    </row>
    <row r="3" spans="1:14" x14ac:dyDescent="0.2">
      <c r="A3" s="43" t="s">
        <v>27</v>
      </c>
      <c r="B3" s="47">
        <v>1</v>
      </c>
      <c r="C3" s="47">
        <v>1</v>
      </c>
      <c r="D3" s="47">
        <v>1</v>
      </c>
      <c r="E3" s="47">
        <v>1</v>
      </c>
      <c r="F3" s="47">
        <v>0.5</v>
      </c>
      <c r="G3" s="47">
        <v>0</v>
      </c>
      <c r="H3" s="48">
        <f t="shared" si="0"/>
        <v>13.5</v>
      </c>
      <c r="I3" s="49">
        <v>0.6</v>
      </c>
      <c r="J3" s="48">
        <f t="shared" si="1"/>
        <v>8.1</v>
      </c>
      <c r="K3" s="48">
        <f t="shared" si="2"/>
        <v>5.4</v>
      </c>
      <c r="L3" s="50">
        <f>J3*INDEX(RateCards!C:C,MATCH(A3,RateCards!A:A,0))</f>
        <v>194400</v>
      </c>
      <c r="M3" s="50">
        <f>K3*INDEX(RateCards!B:B,MATCH(A3,RateCards!A:A,0))</f>
        <v>59400.000000000007</v>
      </c>
      <c r="N3" s="51">
        <f t="shared" si="3"/>
        <v>253800</v>
      </c>
    </row>
    <row r="4" spans="1:14" x14ac:dyDescent="0.2">
      <c r="A4" s="43" t="s">
        <v>29</v>
      </c>
      <c r="B4" s="47">
        <v>1</v>
      </c>
      <c r="C4" s="47">
        <v>2</v>
      </c>
      <c r="D4" s="47">
        <v>3</v>
      </c>
      <c r="E4" s="47">
        <v>3</v>
      </c>
      <c r="F4" s="47">
        <v>2</v>
      </c>
      <c r="G4" s="47">
        <v>1</v>
      </c>
      <c r="H4" s="48">
        <f t="shared" si="0"/>
        <v>34</v>
      </c>
      <c r="I4" s="49">
        <v>0.4</v>
      </c>
      <c r="J4" s="48">
        <f t="shared" si="1"/>
        <v>13.600000000000001</v>
      </c>
      <c r="K4" s="48">
        <f t="shared" si="2"/>
        <v>20.399999999999999</v>
      </c>
      <c r="L4" s="50">
        <f>J4*INDEX(RateCards!C:C,MATCH(A4,RateCards!A:A,0))</f>
        <v>238000.00000000003</v>
      </c>
      <c r="M4" s="50">
        <f>K4*INDEX(RateCards!B:B,MATCH(A4,RateCards!A:A,0))</f>
        <v>163200</v>
      </c>
      <c r="N4" s="51">
        <f t="shared" si="3"/>
        <v>401200</v>
      </c>
    </row>
    <row r="5" spans="1:14" x14ac:dyDescent="0.2">
      <c r="A5" s="43" t="s">
        <v>31</v>
      </c>
      <c r="B5" s="47">
        <v>2</v>
      </c>
      <c r="C5" s="47">
        <v>4</v>
      </c>
      <c r="D5" s="47">
        <v>5</v>
      </c>
      <c r="E5" s="47">
        <v>5</v>
      </c>
      <c r="F5" s="47">
        <v>3</v>
      </c>
      <c r="G5" s="47">
        <v>2</v>
      </c>
      <c r="H5" s="48">
        <f t="shared" si="0"/>
        <v>59</v>
      </c>
      <c r="I5" s="49">
        <v>0.2</v>
      </c>
      <c r="J5" s="48">
        <f t="shared" si="1"/>
        <v>11.8</v>
      </c>
      <c r="K5" s="48">
        <f t="shared" si="2"/>
        <v>47.2</v>
      </c>
      <c r="L5" s="50">
        <f>J5*INDEX(RateCards!C:C,MATCH(A5,RateCards!A:A,0))</f>
        <v>171100</v>
      </c>
      <c r="M5" s="50">
        <f>K5*INDEX(RateCards!B:B,MATCH(A5,RateCards!A:A,0))</f>
        <v>306800</v>
      </c>
      <c r="N5" s="51">
        <f t="shared" si="3"/>
        <v>477900</v>
      </c>
    </row>
    <row r="6" spans="1:14" x14ac:dyDescent="0.2">
      <c r="A6" s="43" t="s">
        <v>33</v>
      </c>
      <c r="B6" s="47">
        <v>1</v>
      </c>
      <c r="C6" s="47">
        <v>2</v>
      </c>
      <c r="D6" s="47">
        <v>3</v>
      </c>
      <c r="E6" s="47">
        <v>3</v>
      </c>
      <c r="F6" s="47">
        <v>2</v>
      </c>
      <c r="G6" s="47">
        <v>1</v>
      </c>
      <c r="H6" s="48">
        <f t="shared" si="0"/>
        <v>34</v>
      </c>
      <c r="I6" s="49">
        <v>0</v>
      </c>
      <c r="J6" s="48">
        <f t="shared" si="1"/>
        <v>0</v>
      </c>
      <c r="K6" s="48">
        <f t="shared" si="2"/>
        <v>34</v>
      </c>
      <c r="L6" s="50">
        <f>J6*INDEX(RateCards!C:C,MATCH(A6,RateCards!A:A,0))</f>
        <v>0</v>
      </c>
      <c r="M6" s="50">
        <f>K6*INDEX(RateCards!B:B,MATCH(A6,RateCards!A:A,0))</f>
        <v>163200</v>
      </c>
      <c r="N6" s="51">
        <f t="shared" si="3"/>
        <v>163200</v>
      </c>
    </row>
    <row r="7" spans="1:14" x14ac:dyDescent="0.2">
      <c r="A7" s="43" t="s">
        <v>35</v>
      </c>
      <c r="B7" s="47">
        <v>1</v>
      </c>
      <c r="C7" s="47">
        <v>2</v>
      </c>
      <c r="D7" s="47">
        <v>2</v>
      </c>
      <c r="E7" s="47">
        <v>2</v>
      </c>
      <c r="F7" s="47">
        <v>1.5</v>
      </c>
      <c r="G7" s="47">
        <v>0.5</v>
      </c>
      <c r="H7" s="48">
        <f t="shared" si="0"/>
        <v>26</v>
      </c>
      <c r="I7" s="49">
        <v>0.25</v>
      </c>
      <c r="J7" s="48">
        <f t="shared" si="1"/>
        <v>6.5</v>
      </c>
      <c r="K7" s="48">
        <f t="shared" si="2"/>
        <v>19.5</v>
      </c>
      <c r="L7" s="50">
        <f>J7*INDEX(RateCards!C:C,MATCH(A7,RateCards!A:A,0))</f>
        <v>123500</v>
      </c>
      <c r="M7" s="50">
        <f>K7*INDEX(RateCards!B:B,MATCH(A7,RateCards!A:A,0))</f>
        <v>165750</v>
      </c>
      <c r="N7" s="51">
        <f t="shared" si="3"/>
        <v>289250</v>
      </c>
    </row>
    <row r="8" spans="1:14" x14ac:dyDescent="0.2">
      <c r="A8" s="43" t="s">
        <v>37</v>
      </c>
      <c r="B8" s="47">
        <v>0</v>
      </c>
      <c r="C8" s="47">
        <v>1</v>
      </c>
      <c r="D8" s="47">
        <v>1.5</v>
      </c>
      <c r="E8" s="47">
        <v>1.5</v>
      </c>
      <c r="F8" s="47">
        <v>1.5</v>
      </c>
      <c r="G8" s="47">
        <v>1.5</v>
      </c>
      <c r="H8" s="48">
        <f t="shared" si="0"/>
        <v>18</v>
      </c>
      <c r="I8" s="49">
        <v>0.1</v>
      </c>
      <c r="J8" s="48">
        <f t="shared" si="1"/>
        <v>1.8</v>
      </c>
      <c r="K8" s="48">
        <f t="shared" si="2"/>
        <v>16.2</v>
      </c>
      <c r="L8" s="50">
        <f>J8*INDEX(RateCards!C:C,MATCH(A8,RateCards!A:A,0))</f>
        <v>17100</v>
      </c>
      <c r="M8" s="50">
        <f>K8*INDEX(RateCards!B:B,MATCH(A8,RateCards!A:A,0))</f>
        <v>68040</v>
      </c>
      <c r="N8" s="51">
        <f t="shared" si="3"/>
        <v>85140</v>
      </c>
    </row>
    <row r="9" spans="1:14" x14ac:dyDescent="0.2">
      <c r="A9" s="43" t="s">
        <v>39</v>
      </c>
      <c r="B9" s="47">
        <v>0.5</v>
      </c>
      <c r="C9" s="47">
        <v>0.5</v>
      </c>
      <c r="D9" s="47">
        <v>1</v>
      </c>
      <c r="E9" s="47">
        <v>1</v>
      </c>
      <c r="F9" s="47">
        <v>0.5</v>
      </c>
      <c r="G9" s="47">
        <v>0.5</v>
      </c>
      <c r="H9" s="48">
        <f t="shared" si="0"/>
        <v>11</v>
      </c>
      <c r="I9" s="49">
        <v>0.1</v>
      </c>
      <c r="J9" s="48">
        <f t="shared" si="1"/>
        <v>1.1000000000000001</v>
      </c>
      <c r="K9" s="48">
        <f t="shared" si="2"/>
        <v>9.9</v>
      </c>
      <c r="L9" s="50">
        <f>J9*INDEX(RateCards!C:C,MATCH(A9,RateCards!A:A,0))</f>
        <v>15950.000000000002</v>
      </c>
      <c r="M9" s="50">
        <f>K9*INDEX(RateCards!B:B,MATCH(A9,RateCards!A:A,0))</f>
        <v>64350</v>
      </c>
      <c r="N9" s="51">
        <f t="shared" si="3"/>
        <v>80300</v>
      </c>
    </row>
    <row r="10" spans="1:14" x14ac:dyDescent="0.2">
      <c r="A10" s="43" t="s">
        <v>41</v>
      </c>
      <c r="B10" s="47">
        <v>0.5</v>
      </c>
      <c r="C10" s="47">
        <v>0.5</v>
      </c>
      <c r="D10" s="47">
        <v>0.5</v>
      </c>
      <c r="E10" s="47">
        <v>0.5</v>
      </c>
      <c r="F10" s="47">
        <v>0</v>
      </c>
      <c r="G10" s="47">
        <v>0.5</v>
      </c>
      <c r="H10" s="48">
        <f t="shared" si="0"/>
        <v>6.5</v>
      </c>
      <c r="I10" s="49">
        <v>1</v>
      </c>
      <c r="J10" s="48">
        <f t="shared" si="1"/>
        <v>6.5</v>
      </c>
      <c r="K10" s="48">
        <f t="shared" si="2"/>
        <v>0</v>
      </c>
      <c r="L10" s="50">
        <f>J10*INDEX(RateCards!C:C,MATCH(A10,RateCards!A:A,0))</f>
        <v>84500</v>
      </c>
      <c r="M10" s="50">
        <f>K10*INDEX(RateCards!B:B,MATCH(A10,RateCards!A:A,0))</f>
        <v>0</v>
      </c>
      <c r="N10" s="51">
        <f t="shared" si="3"/>
        <v>84500</v>
      </c>
    </row>
    <row r="11" spans="1:14" x14ac:dyDescent="0.2">
      <c r="A11" s="52" t="s">
        <v>62</v>
      </c>
      <c r="B11" s="52">
        <f t="shared" ref="B11:H11" si="4">SUM(B2:B10)</f>
        <v>8</v>
      </c>
      <c r="C11" s="52">
        <f t="shared" si="4"/>
        <v>14</v>
      </c>
      <c r="D11" s="52">
        <f t="shared" si="4"/>
        <v>18</v>
      </c>
      <c r="E11" s="52">
        <f t="shared" si="4"/>
        <v>18</v>
      </c>
      <c r="F11" s="52">
        <f t="shared" si="4"/>
        <v>12</v>
      </c>
      <c r="G11" s="52">
        <f t="shared" si="4"/>
        <v>8</v>
      </c>
      <c r="H11" s="53">
        <f t="shared" si="4"/>
        <v>218</v>
      </c>
      <c r="I11" s="54"/>
      <c r="J11" s="53">
        <f>SUM(J2:J10)</f>
        <v>65.400000000000006</v>
      </c>
      <c r="K11" s="53">
        <f>SUM(K2:K10)</f>
        <v>152.6</v>
      </c>
      <c r="L11" s="55">
        <f>SUM(L2:L10)</f>
        <v>1180550</v>
      </c>
      <c r="M11" s="55">
        <f>SUM(M2:M10)</f>
        <v>990740</v>
      </c>
      <c r="N11" s="55">
        <f>SUM(N2:N10)</f>
        <v>2171290</v>
      </c>
    </row>
    <row r="12" spans="1:14" x14ac:dyDescent="0.2">
      <c r="A12" s="31" t="s">
        <v>63</v>
      </c>
      <c r="B12" s="31"/>
      <c r="C12" s="31"/>
      <c r="D12" s="31"/>
      <c r="E12" s="31"/>
      <c r="F12" s="31"/>
      <c r="G12" s="31"/>
      <c r="H12" s="31"/>
      <c r="I12" s="32">
        <f>J11/H11</f>
        <v>0.30000000000000004</v>
      </c>
      <c r="J12" s="3"/>
      <c r="K12" s="3"/>
      <c r="L12" s="3"/>
      <c r="M12" s="3"/>
      <c r="N12" s="3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7"/>
  <sheetViews>
    <sheetView showGridLines="0" zoomScale="180" workbookViewId="0">
      <pane ySplit="1" topLeftCell="A2" activePane="bottomLeft" state="frozen"/>
      <selection pane="bottomLeft" activeCell="B13" sqref="B13"/>
    </sheetView>
  </sheetViews>
  <sheetFormatPr baseColWidth="10" defaultColWidth="8.83203125" defaultRowHeight="15" x14ac:dyDescent="0.2"/>
  <cols>
    <col min="1" max="1" width="50" customWidth="1"/>
    <col min="2" max="2" width="11.6640625" customWidth="1"/>
    <col min="3" max="3" width="15" customWidth="1"/>
    <col min="4" max="4" width="18.33203125" customWidth="1"/>
    <col min="5" max="5" width="13.33203125" customWidth="1"/>
    <col min="6" max="6" width="18.33203125" customWidth="1"/>
  </cols>
  <sheetData>
    <row r="1" spans="1:6" ht="22" customHeight="1" x14ac:dyDescent="0.2">
      <c r="A1" s="7" t="s">
        <v>64</v>
      </c>
      <c r="B1" s="7" t="s">
        <v>65</v>
      </c>
      <c r="C1" s="7" t="s">
        <v>66</v>
      </c>
      <c r="D1" s="7" t="s">
        <v>67</v>
      </c>
      <c r="E1" s="7" t="s">
        <v>68</v>
      </c>
      <c r="F1" s="7" t="s">
        <v>69</v>
      </c>
    </row>
    <row r="2" spans="1:6" x14ac:dyDescent="0.2">
      <c r="A2" s="9" t="s">
        <v>43</v>
      </c>
      <c r="B2" s="25">
        <v>3</v>
      </c>
      <c r="C2" s="33" t="s">
        <v>70</v>
      </c>
      <c r="D2" s="26">
        <f>INDEX(RateCards!B:B,MATCH(A2,RateCards!A:A,0))</f>
        <v>6500</v>
      </c>
      <c r="E2" s="34">
        <v>12</v>
      </c>
      <c r="F2" s="27">
        <f>B2*D2*E2</f>
        <v>234000</v>
      </c>
    </row>
    <row r="3" spans="1:6" x14ac:dyDescent="0.2">
      <c r="A3" s="12" t="s">
        <v>43</v>
      </c>
      <c r="B3" s="28">
        <v>0.5</v>
      </c>
      <c r="C3" s="35" t="s">
        <v>71</v>
      </c>
      <c r="D3" s="29">
        <f>INDEX(RateCards!C:C,MATCH(A3,RateCards!A:A,0))</f>
        <v>14500</v>
      </c>
      <c r="E3" s="36">
        <v>12</v>
      </c>
      <c r="F3" s="30">
        <f>B3*D3*E3</f>
        <v>87000</v>
      </c>
    </row>
    <row r="4" spans="1:6" x14ac:dyDescent="0.2">
      <c r="A4" s="12" t="s">
        <v>35</v>
      </c>
      <c r="B4" s="28">
        <v>0.5</v>
      </c>
      <c r="C4" s="35" t="s">
        <v>70</v>
      </c>
      <c r="D4" s="29">
        <f>INDEX(RateCards!B:B,MATCH(A4,RateCards!A:A,0))</f>
        <v>8500</v>
      </c>
      <c r="E4" s="36">
        <v>12</v>
      </c>
      <c r="F4" s="30">
        <f>B4*D4*E4</f>
        <v>51000</v>
      </c>
    </row>
    <row r="5" spans="1:6" x14ac:dyDescent="0.2">
      <c r="A5" s="12" t="s">
        <v>39</v>
      </c>
      <c r="B5" s="28">
        <v>0.5</v>
      </c>
      <c r="C5" s="35" t="s">
        <v>70</v>
      </c>
      <c r="D5" s="29">
        <f>INDEX(RateCards!B:B,MATCH(A5,RateCards!A:A,0))</f>
        <v>6500</v>
      </c>
      <c r="E5" s="36">
        <v>12</v>
      </c>
      <c r="F5" s="30">
        <f>B5*D5*E5</f>
        <v>39000</v>
      </c>
    </row>
    <row r="6" spans="1:6" x14ac:dyDescent="0.2">
      <c r="A6" s="12" t="s">
        <v>45</v>
      </c>
      <c r="B6" s="28">
        <v>0.5</v>
      </c>
      <c r="C6" s="35" t="s">
        <v>71</v>
      </c>
      <c r="D6" s="29">
        <f>INDEX(RateCards!C:C,MATCH(A6,RateCards!A:A,0))</f>
        <v>21000</v>
      </c>
      <c r="E6" s="36">
        <v>12</v>
      </c>
      <c r="F6" s="30">
        <f>B6*D6*E6</f>
        <v>126000</v>
      </c>
    </row>
    <row r="7" spans="1:6" x14ac:dyDescent="0.2">
      <c r="A7" s="16" t="s">
        <v>72</v>
      </c>
      <c r="B7" s="37"/>
      <c r="C7" s="37"/>
      <c r="D7" s="38"/>
      <c r="E7" s="37"/>
      <c r="F7" s="39">
        <v>31000</v>
      </c>
    </row>
    <row r="8" spans="1:6" x14ac:dyDescent="0.2">
      <c r="A8" s="19" t="s">
        <v>73</v>
      </c>
      <c r="B8" s="19"/>
      <c r="C8" s="19"/>
      <c r="D8" s="40"/>
      <c r="E8" s="19"/>
      <c r="F8" s="40">
        <f>SUM(F2:F7)</f>
        <v>568000</v>
      </c>
    </row>
    <row r="9" spans="1:6" x14ac:dyDescent="0.2">
      <c r="A9" s="3"/>
      <c r="B9" s="3"/>
      <c r="C9" s="3"/>
      <c r="D9" s="3"/>
      <c r="E9" s="3"/>
      <c r="F9" s="3"/>
    </row>
    <row r="10" spans="1:6" x14ac:dyDescent="0.2">
      <c r="A10" s="31" t="s">
        <v>74</v>
      </c>
      <c r="B10" s="3"/>
      <c r="C10" s="3"/>
      <c r="D10" s="3"/>
      <c r="E10" s="3"/>
      <c r="F10" s="3"/>
    </row>
    <row r="11" spans="1:6" ht="16" x14ac:dyDescent="0.2">
      <c r="A11" s="41" t="s">
        <v>75</v>
      </c>
      <c r="B11" s="8" t="s">
        <v>76</v>
      </c>
      <c r="C11" s="8" t="s">
        <v>77</v>
      </c>
      <c r="D11" s="8" t="s">
        <v>78</v>
      </c>
      <c r="E11" s="3"/>
      <c r="F11" s="3"/>
    </row>
    <row r="12" spans="1:6" ht="16" x14ac:dyDescent="0.2">
      <c r="A12" s="2" t="s">
        <v>79</v>
      </c>
      <c r="B12" s="4">
        <v>2</v>
      </c>
      <c r="C12" s="23">
        <v>0.03</v>
      </c>
      <c r="D12" s="24">
        <f>F8*(1+C12)</f>
        <v>585040</v>
      </c>
      <c r="E12" s="3"/>
      <c r="F12" s="3"/>
    </row>
    <row r="13" spans="1:6" ht="16" x14ac:dyDescent="0.2">
      <c r="A13" s="2" t="s">
        <v>80</v>
      </c>
      <c r="B13" s="4">
        <v>3</v>
      </c>
      <c r="C13" s="23">
        <v>0.03</v>
      </c>
      <c r="D13" s="24">
        <f>F8*(1+C13)^2</f>
        <v>602591.19999999995</v>
      </c>
      <c r="E13" s="3"/>
      <c r="F13" s="3"/>
    </row>
    <row r="14" spans="1:6" ht="16" x14ac:dyDescent="0.2">
      <c r="A14" s="2" t="s">
        <v>81</v>
      </c>
      <c r="B14" s="4">
        <v>4</v>
      </c>
      <c r="C14" s="23">
        <v>0.03</v>
      </c>
      <c r="D14" s="24">
        <f>F8*(1+C14)^3</f>
        <v>620668.93599999999</v>
      </c>
      <c r="E14" s="3"/>
      <c r="F14" s="3"/>
    </row>
    <row r="15" spans="1:6" ht="16" x14ac:dyDescent="0.2">
      <c r="A15" s="2" t="s">
        <v>82</v>
      </c>
      <c r="B15" s="4">
        <v>5</v>
      </c>
      <c r="C15" s="23">
        <v>0.03</v>
      </c>
      <c r="D15" s="24">
        <f>F8*(1+C15)^4</f>
        <v>639289.00407999998</v>
      </c>
      <c r="E15" s="3"/>
      <c r="F15" s="3"/>
    </row>
    <row r="16" spans="1:6" x14ac:dyDescent="0.2">
      <c r="A16" s="2"/>
      <c r="B16" s="3"/>
      <c r="C16" s="3"/>
      <c r="D16" s="3"/>
      <c r="E16" s="3"/>
      <c r="F16" s="3"/>
    </row>
    <row r="17" spans="1:6" ht="32" x14ac:dyDescent="0.2">
      <c r="A17" s="22" t="s">
        <v>83</v>
      </c>
      <c r="B17" s="3"/>
      <c r="C17" s="3"/>
      <c r="D17" s="3"/>
      <c r="E17" s="3"/>
      <c r="F17" s="3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"/>
  <sheetViews>
    <sheetView showGridLines="0" zoomScale="179" workbookViewId="0">
      <pane ySplit="1" topLeftCell="A2" activePane="bottomLeft" state="frozen"/>
      <selection pane="bottomLeft" activeCell="A5" sqref="A5"/>
    </sheetView>
  </sheetViews>
  <sheetFormatPr baseColWidth="10" defaultColWidth="8.83203125" defaultRowHeight="15" x14ac:dyDescent="0.2"/>
  <cols>
    <col min="1" max="1" width="55" customWidth="1"/>
    <col min="2" max="2" width="13.33203125" customWidth="1"/>
    <col min="3" max="3" width="20" customWidth="1"/>
    <col min="4" max="4" width="16.6640625" customWidth="1"/>
    <col min="5" max="5" width="18.33203125" customWidth="1"/>
  </cols>
  <sheetData>
    <row r="1" spans="1:5" ht="22" customHeight="1" x14ac:dyDescent="0.2">
      <c r="A1" s="42" t="s">
        <v>84</v>
      </c>
      <c r="B1" s="42" t="s">
        <v>85</v>
      </c>
      <c r="C1" s="42" t="s">
        <v>86</v>
      </c>
      <c r="D1" s="42" t="s">
        <v>87</v>
      </c>
      <c r="E1" s="42" t="s">
        <v>69</v>
      </c>
    </row>
    <row r="2" spans="1:5" x14ac:dyDescent="0.2">
      <c r="A2" s="43" t="s">
        <v>88</v>
      </c>
      <c r="B2" s="47">
        <v>70</v>
      </c>
      <c r="C2" s="43" t="s">
        <v>89</v>
      </c>
      <c r="D2" s="44">
        <v>1200</v>
      </c>
      <c r="E2" s="51">
        <f>B2*D2</f>
        <v>84000</v>
      </c>
    </row>
    <row r="3" spans="1:5" x14ac:dyDescent="0.2">
      <c r="A3" s="43" t="s">
        <v>90</v>
      </c>
      <c r="B3" s="56">
        <f>DeltaDev!J11</f>
        <v>65.400000000000006</v>
      </c>
      <c r="C3" s="43" t="s">
        <v>91</v>
      </c>
      <c r="D3" s="44">
        <v>3670</v>
      </c>
      <c r="E3" s="51">
        <f>B3*D3</f>
        <v>240018.00000000003</v>
      </c>
    </row>
    <row r="4" spans="1:5" x14ac:dyDescent="0.2">
      <c r="A4" s="43" t="s">
        <v>92</v>
      </c>
      <c r="B4" s="48"/>
      <c r="C4" s="43" t="s">
        <v>93</v>
      </c>
      <c r="D4" s="51"/>
      <c r="E4" s="44">
        <v>24000</v>
      </c>
    </row>
    <row r="5" spans="1:5" x14ac:dyDescent="0.2">
      <c r="A5" s="43" t="s">
        <v>94</v>
      </c>
      <c r="B5" s="47">
        <v>30</v>
      </c>
      <c r="C5" s="43" t="s">
        <v>95</v>
      </c>
      <c r="D5" s="44">
        <v>800</v>
      </c>
      <c r="E5" s="51">
        <f>B5*D5</f>
        <v>24000</v>
      </c>
    </row>
    <row r="6" spans="1:5" x14ac:dyDescent="0.2">
      <c r="A6" s="52" t="s">
        <v>96</v>
      </c>
      <c r="B6" s="52"/>
      <c r="C6" s="52"/>
      <c r="D6" s="57"/>
      <c r="E6" s="55">
        <f>SUM(E2:E5)</f>
        <v>372018</v>
      </c>
    </row>
    <row r="7" spans="1:5" x14ac:dyDescent="0.2">
      <c r="A7" s="3"/>
      <c r="B7" s="3"/>
      <c r="C7" s="3"/>
      <c r="D7" s="3"/>
      <c r="E7" s="3"/>
    </row>
    <row r="8" spans="1:5" x14ac:dyDescent="0.2">
      <c r="A8" s="31" t="s">
        <v>97</v>
      </c>
      <c r="B8" s="3"/>
      <c r="C8" s="3"/>
      <c r="D8" s="3"/>
      <c r="E8" s="3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"/>
  <sheetViews>
    <sheetView showGridLines="0" zoomScale="160" workbookViewId="0">
      <pane ySplit="1" topLeftCell="A2" activePane="bottomLeft" state="frozen"/>
      <selection pane="bottomLeft" activeCell="A4" sqref="A4"/>
    </sheetView>
  </sheetViews>
  <sheetFormatPr baseColWidth="10" defaultColWidth="8.83203125" defaultRowHeight="15" x14ac:dyDescent="0.2"/>
  <cols>
    <col min="1" max="1" width="46.6640625" customWidth="1"/>
    <col min="2" max="2" width="40.1640625" customWidth="1"/>
    <col min="3" max="3" width="18.33203125" customWidth="1"/>
  </cols>
  <sheetData>
    <row r="1" spans="1:3" x14ac:dyDescent="0.2">
      <c r="A1" s="42" t="s">
        <v>84</v>
      </c>
      <c r="B1" s="42" t="s">
        <v>98</v>
      </c>
      <c r="C1" s="42" t="s">
        <v>69</v>
      </c>
    </row>
    <row r="2" spans="1:3" ht="48" x14ac:dyDescent="0.2">
      <c r="A2" s="43" t="s">
        <v>99</v>
      </c>
      <c r="B2" s="45" t="s">
        <v>100</v>
      </c>
      <c r="C2" s="44">
        <v>60000</v>
      </c>
    </row>
    <row r="3" spans="1:3" ht="32" x14ac:dyDescent="0.2">
      <c r="A3" s="43" t="s">
        <v>101</v>
      </c>
      <c r="B3" s="45" t="s">
        <v>102</v>
      </c>
      <c r="C3" s="44">
        <v>160000</v>
      </c>
    </row>
    <row r="4" spans="1:3" ht="48" x14ac:dyDescent="0.2">
      <c r="A4" s="43" t="s">
        <v>103</v>
      </c>
      <c r="B4" s="45" t="s">
        <v>104</v>
      </c>
      <c r="C4" s="44">
        <v>95000</v>
      </c>
    </row>
    <row r="5" spans="1:3" ht="32" x14ac:dyDescent="0.2">
      <c r="A5" s="43" t="s">
        <v>105</v>
      </c>
      <c r="B5" s="45" t="s">
        <v>106</v>
      </c>
      <c r="C5" s="44">
        <v>80000</v>
      </c>
    </row>
    <row r="6" spans="1:3" ht="32" x14ac:dyDescent="0.2">
      <c r="A6" s="43" t="s">
        <v>107</v>
      </c>
      <c r="B6" s="45" t="s">
        <v>108</v>
      </c>
      <c r="C6" s="44">
        <v>0</v>
      </c>
    </row>
    <row r="7" spans="1:3" x14ac:dyDescent="0.2">
      <c r="A7" s="52" t="s">
        <v>109</v>
      </c>
      <c r="B7" s="52"/>
      <c r="C7" s="55">
        <f>SUM(C2:C6)</f>
        <v>395000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9"/>
  <sheetViews>
    <sheetView showGridLines="0" zoomScale="150" workbookViewId="0">
      <pane ySplit="2" topLeftCell="A3" activePane="bottomLeft" state="frozen"/>
      <selection pane="bottomLeft" activeCell="B17" sqref="B17"/>
    </sheetView>
  </sheetViews>
  <sheetFormatPr baseColWidth="10" defaultColWidth="8.83203125" defaultRowHeight="15" x14ac:dyDescent="0.2"/>
  <cols>
    <col min="1" max="1" width="7.5" customWidth="1"/>
    <col min="2" max="2" width="70" customWidth="1"/>
    <col min="3" max="3" width="18.33203125" customWidth="1"/>
    <col min="4" max="4" width="13.33203125" customWidth="1"/>
    <col min="5" max="5" width="20" customWidth="1"/>
  </cols>
  <sheetData>
    <row r="1" spans="1:5" x14ac:dyDescent="0.2">
      <c r="A1" s="58" t="s">
        <v>110</v>
      </c>
      <c r="B1" s="59"/>
      <c r="C1" s="59"/>
      <c r="D1" s="59" t="s">
        <v>111</v>
      </c>
      <c r="E1" s="60">
        <f>Summary!C13-Summary!C10</f>
        <v>4832000</v>
      </c>
    </row>
    <row r="2" spans="1:5" x14ac:dyDescent="0.2">
      <c r="A2" s="42" t="s">
        <v>112</v>
      </c>
      <c r="B2" s="42" t="s">
        <v>113</v>
      </c>
      <c r="C2" s="42" t="s">
        <v>114</v>
      </c>
      <c r="D2" s="42" t="s">
        <v>115</v>
      </c>
      <c r="E2" s="42" t="s">
        <v>1</v>
      </c>
    </row>
    <row r="3" spans="1:5" ht="16" x14ac:dyDescent="0.2">
      <c r="A3" s="61">
        <v>1</v>
      </c>
      <c r="B3" s="45" t="s">
        <v>116</v>
      </c>
      <c r="C3" s="43" t="s">
        <v>117</v>
      </c>
      <c r="D3" s="49">
        <v>0.1</v>
      </c>
      <c r="E3" s="51">
        <f t="shared" ref="E3:E10" si="0">D3*$E$1</f>
        <v>483200</v>
      </c>
    </row>
    <row r="4" spans="1:5" ht="16" x14ac:dyDescent="0.2">
      <c r="A4" s="61">
        <v>2</v>
      </c>
      <c r="B4" s="45" t="s">
        <v>118</v>
      </c>
      <c r="C4" s="43" t="s">
        <v>119</v>
      </c>
      <c r="D4" s="49">
        <v>0.1</v>
      </c>
      <c r="E4" s="51">
        <f t="shared" si="0"/>
        <v>483200</v>
      </c>
    </row>
    <row r="5" spans="1:5" ht="16" x14ac:dyDescent="0.2">
      <c r="A5" s="61">
        <v>3</v>
      </c>
      <c r="B5" s="45" t="s">
        <v>120</v>
      </c>
      <c r="C5" s="43" t="s">
        <v>121</v>
      </c>
      <c r="D5" s="49">
        <v>0.15</v>
      </c>
      <c r="E5" s="51">
        <f t="shared" si="0"/>
        <v>724800</v>
      </c>
    </row>
    <row r="6" spans="1:5" ht="36" customHeight="1" x14ac:dyDescent="0.2">
      <c r="A6" s="61">
        <v>4</v>
      </c>
      <c r="B6" s="45" t="s">
        <v>122</v>
      </c>
      <c r="C6" s="43" t="s">
        <v>123</v>
      </c>
      <c r="D6" s="49">
        <v>0.15</v>
      </c>
      <c r="E6" s="51">
        <f t="shared" si="0"/>
        <v>724800</v>
      </c>
    </row>
    <row r="7" spans="1:5" ht="32" x14ac:dyDescent="0.2">
      <c r="A7" s="61">
        <v>5</v>
      </c>
      <c r="B7" s="45" t="s">
        <v>124</v>
      </c>
      <c r="C7" s="43" t="s">
        <v>125</v>
      </c>
      <c r="D7" s="49">
        <v>0.15</v>
      </c>
      <c r="E7" s="51">
        <f t="shared" si="0"/>
        <v>724800</v>
      </c>
    </row>
    <row r="8" spans="1:5" ht="16" x14ac:dyDescent="0.2">
      <c r="A8" s="61">
        <v>6</v>
      </c>
      <c r="B8" s="45" t="s">
        <v>126</v>
      </c>
      <c r="C8" s="43" t="s">
        <v>54</v>
      </c>
      <c r="D8" s="49">
        <v>0.1</v>
      </c>
      <c r="E8" s="51">
        <f t="shared" si="0"/>
        <v>483200</v>
      </c>
    </row>
    <row r="9" spans="1:5" ht="16" x14ac:dyDescent="0.2">
      <c r="A9" s="61">
        <v>7</v>
      </c>
      <c r="B9" s="45" t="s">
        <v>127</v>
      </c>
      <c r="C9" s="43" t="s">
        <v>128</v>
      </c>
      <c r="D9" s="49">
        <v>0.15</v>
      </c>
      <c r="E9" s="51">
        <f t="shared" si="0"/>
        <v>724800</v>
      </c>
    </row>
    <row r="10" spans="1:5" ht="16" x14ac:dyDescent="0.2">
      <c r="A10" s="61">
        <v>8</v>
      </c>
      <c r="B10" s="45" t="s">
        <v>129</v>
      </c>
      <c r="C10" s="43" t="s">
        <v>130</v>
      </c>
      <c r="D10" s="49">
        <v>0.1</v>
      </c>
      <c r="E10" s="51">
        <f t="shared" si="0"/>
        <v>483200</v>
      </c>
    </row>
    <row r="11" spans="1:5" ht="16" x14ac:dyDescent="0.2">
      <c r="A11" s="62"/>
      <c r="B11" s="63" t="s">
        <v>131</v>
      </c>
      <c r="C11" s="62"/>
      <c r="D11" s="64">
        <f>SUM(D3:D10)</f>
        <v>1</v>
      </c>
      <c r="E11" s="55">
        <f>SUM(E3:E10)</f>
        <v>4832000</v>
      </c>
    </row>
    <row r="12" spans="1:5" x14ac:dyDescent="0.2">
      <c r="A12" s="43"/>
      <c r="B12" s="45"/>
      <c r="C12" s="43"/>
      <c r="D12" s="43"/>
      <c r="E12" s="43"/>
    </row>
    <row r="13" spans="1:5" ht="16" x14ac:dyDescent="0.2">
      <c r="A13" s="43"/>
      <c r="B13" s="65" t="s">
        <v>132</v>
      </c>
      <c r="C13" s="43"/>
      <c r="D13" s="43"/>
      <c r="E13" s="43"/>
    </row>
    <row r="14" spans="1:5" ht="16" x14ac:dyDescent="0.2">
      <c r="A14" s="43"/>
      <c r="B14" s="45" t="s">
        <v>133</v>
      </c>
      <c r="C14" s="43" t="s">
        <v>134</v>
      </c>
      <c r="D14" s="43"/>
      <c r="E14" s="50">
        <f>Summary!C10/4</f>
        <v>142000</v>
      </c>
    </row>
    <row r="15" spans="1:5" ht="16" x14ac:dyDescent="0.2">
      <c r="A15" s="43"/>
      <c r="B15" s="45" t="s">
        <v>135</v>
      </c>
      <c r="C15" s="43" t="s">
        <v>136</v>
      </c>
      <c r="D15" s="43"/>
      <c r="E15" s="50">
        <f>Summary!C10/4</f>
        <v>142000</v>
      </c>
    </row>
    <row r="16" spans="1:5" ht="16" x14ac:dyDescent="0.2">
      <c r="A16" s="43"/>
      <c r="B16" s="45" t="s">
        <v>137</v>
      </c>
      <c r="C16" s="43" t="s">
        <v>138</v>
      </c>
      <c r="D16" s="43"/>
      <c r="E16" s="50">
        <f>Summary!C10/4</f>
        <v>142000</v>
      </c>
    </row>
    <row r="17" spans="1:5" ht="16" x14ac:dyDescent="0.2">
      <c r="A17" s="66"/>
      <c r="B17" s="45" t="s">
        <v>139</v>
      </c>
      <c r="C17" s="43" t="s">
        <v>140</v>
      </c>
      <c r="D17" s="43"/>
      <c r="E17" s="50">
        <f>Summary!C10/4</f>
        <v>142000</v>
      </c>
    </row>
    <row r="18" spans="1:5" ht="16" x14ac:dyDescent="0.2">
      <c r="A18" s="67"/>
      <c r="B18" s="68" t="s">
        <v>141</v>
      </c>
      <c r="C18" s="67"/>
      <c r="D18" s="67"/>
      <c r="E18" s="69">
        <f>E11+SUM(E14:E17)</f>
        <v>5400000</v>
      </c>
    </row>
    <row r="19" spans="1:5" ht="16" x14ac:dyDescent="0.2">
      <c r="A19" s="43"/>
      <c r="B19" s="45" t="s">
        <v>142</v>
      </c>
      <c r="C19" s="43"/>
      <c r="D19" s="43"/>
      <c r="E19" s="50">
        <f>E18-Summary!C13</f>
        <v>0</v>
      </c>
    </row>
  </sheetData>
  <conditionalFormatting sqref="E19">
    <cfRule type="cellIs" dxfId="1" priority="1" operator="equal">
      <formula>0</formula>
    </cfRule>
  </conditionalFormatting>
  <conditionalFormatting sqref="E19">
    <cfRule type="cellIs" dxfId="0" priority="2" operator="notEqual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RateCards</vt:lpstr>
      <vt:lpstr>DeltaDev</vt:lpstr>
      <vt:lpstr>AMC</vt:lpstr>
      <vt:lpstr>TravelLodging</vt:lpstr>
      <vt:lpstr>OtherCosts</vt:lpstr>
      <vt:lpstr>Milestones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Ashish Sharma</cp:lastModifiedBy>
  <dcterms:created xsi:type="dcterms:W3CDTF">2026-08-28T10:33:03Z</dcterms:created>
  <dcterms:modified xsi:type="dcterms:W3CDTF">2026-08-28T11:15:13Z</dcterms:modified>
</cp:coreProperties>
</file>