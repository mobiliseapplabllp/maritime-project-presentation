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teCards" sheetId="1" state="visible" r:id="rId1"/>
    <sheet xmlns:r="http://schemas.openxmlformats.org/officeDocument/2006/relationships" name="DeltaDev" sheetId="2" state="visible" r:id="rId2"/>
    <sheet xmlns:r="http://schemas.openxmlformats.org/officeDocument/2006/relationships" name="AMC" sheetId="3" state="visible" r:id="rId3"/>
    <sheet xmlns:r="http://schemas.openxmlformats.org/officeDocument/2006/relationships" name="TravelLodging" sheetId="4" state="visible" r:id="rId4"/>
    <sheet xmlns:r="http://schemas.openxmlformats.org/officeDocument/2006/relationships" name="OtherCosts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5">
    <fill>
      <patternFill/>
    </fill>
    <fill>
      <patternFill patternType="gray125"/>
    </fill>
    <fill>
      <patternFill patternType="solid">
        <fgColor rgb="FF0E7C86"/>
      </patternFill>
    </fill>
    <fill>
      <patternFill patternType="solid">
        <fgColor rgb="FFE7F1F2"/>
      </patternFill>
    </fill>
    <fill>
      <patternFill patternType="solid">
        <fgColor rgb="FF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9" fontId="2" fillId="3" borderId="0" pivotButton="0" quotePrefix="0" xfId="0"/>
    <xf numFmtId="3" fontId="2" fillId="3" borderId="0" pivotButton="0" quotePrefix="0" xfId="0"/>
    <xf numFmtId="0" fontId="2" fillId="4" borderId="0" pivotButton="0" quotePrefix="0" xfId="0"/>
    <xf numFmtId="3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4" customWidth="1" min="3" max="3"/>
    <col width="42" customWidth="1" min="4" max="4"/>
  </cols>
  <sheetData>
    <row r="1">
      <c r="A1" s="1" t="inlineStr">
        <is>
          <t>Role</t>
        </is>
      </c>
      <c r="B1" s="1" t="inlineStr">
        <is>
          <t>Offshore rate (USD/mo)</t>
        </is>
      </c>
      <c r="C1" s="1" t="inlineStr">
        <is>
          <t>Onshore UAE rate (USD/mo)</t>
        </is>
      </c>
      <c r="D1" s="1" t="inlineStr">
        <is>
          <t>Notes</t>
        </is>
      </c>
    </row>
    <row r="2">
      <c r="A2" t="inlineStr">
        <is>
          <t>Programme Manager</t>
        </is>
      </c>
      <c r="B2" s="2" t="n">
        <v>9500</v>
      </c>
      <c r="C2" s="2" t="n">
        <v>21000</v>
      </c>
      <c r="D2" t="inlineStr">
        <is>
          <t>Client-facing governance — onshore-led</t>
        </is>
      </c>
    </row>
    <row r="3">
      <c r="A3" t="inlineStr">
        <is>
          <t>Solution Architect</t>
        </is>
      </c>
      <c r="B3" s="2" t="n">
        <v>11000</v>
      </c>
      <c r="C3" s="2" t="n">
        <v>24000</v>
      </c>
      <c r="D3" t="inlineStr">
        <is>
          <t>Onshore for design and drop windows</t>
        </is>
      </c>
    </row>
    <row r="4">
      <c r="A4" t="inlineStr">
        <is>
          <t>Technical Lead</t>
        </is>
      </c>
      <c r="B4" s="2" t="n">
        <v>8000</v>
      </c>
      <c r="C4" s="2" t="n">
        <v>17500</v>
      </c>
      <c r="D4" t="inlineStr">
        <is>
          <t>Workstream leads; onshore rotations</t>
        </is>
      </c>
    </row>
    <row r="5">
      <c r="A5" t="inlineStr">
        <is>
          <t>Senior Engineer</t>
        </is>
      </c>
      <c r="B5" s="2" t="n">
        <v>6500</v>
      </c>
      <c r="C5" s="2" t="n">
        <v>14500</v>
      </c>
      <c r="D5" t="inlineStr">
        <is>
          <t>Platform and domain services</t>
        </is>
      </c>
    </row>
    <row r="6">
      <c r="A6" t="inlineStr">
        <is>
          <t>Engineer</t>
        </is>
      </c>
      <c r="B6" s="2" t="n">
        <v>4800</v>
      </c>
      <c r="C6" s="2" t="n">
        <v>11000</v>
      </c>
      <c r="D6" t="inlineStr">
        <is>
          <t>Feature build — offshore</t>
        </is>
      </c>
    </row>
    <row r="7">
      <c r="A7" t="inlineStr">
        <is>
          <t>AI/ML Engineer</t>
        </is>
      </c>
      <c r="B7" s="2" t="n">
        <v>8500</v>
      </c>
      <c r="C7" s="2" t="n">
        <v>19000</v>
      </c>
      <c r="D7" t="inlineStr">
        <is>
          <t>Agents, models, evaluation</t>
        </is>
      </c>
    </row>
    <row r="8">
      <c r="A8" t="inlineStr">
        <is>
          <t>QA Engineer</t>
        </is>
      </c>
      <c r="B8" s="2" t="n">
        <v>4200</v>
      </c>
      <c r="C8" s="2" t="n">
        <v>9500</v>
      </c>
      <c r="D8" t="inlineStr">
        <is>
          <t>Automation-first; onshore for UAT</t>
        </is>
      </c>
    </row>
    <row r="9">
      <c r="A9" t="inlineStr">
        <is>
          <t>DevOps Engineer</t>
        </is>
      </c>
      <c r="B9" s="2" t="n">
        <v>6500</v>
      </c>
      <c r="C9" s="2" t="n">
        <v>14500</v>
      </c>
      <c r="D9" t="inlineStr">
        <is>
          <t>Chassis, CI/CD, environments</t>
        </is>
      </c>
    </row>
    <row r="10">
      <c r="A10" t="inlineStr">
        <is>
          <t>BA / Domain SME</t>
        </is>
      </c>
      <c r="B10" s="2" t="n">
        <v>5500</v>
      </c>
      <c r="C10" s="2" t="n">
        <v>13000</v>
      </c>
      <c r="D10" t="inlineStr">
        <is>
          <t>Ministry workshops, UAT — onshore-led</t>
        </is>
      </c>
    </row>
    <row r="11">
      <c r="A11" t="inlineStr">
        <is>
          <t>Support Engineer (AMC L2/L3)</t>
        </is>
      </c>
      <c r="B11" s="2" t="n">
        <v>6500</v>
      </c>
      <c r="C11" s="2" t="n">
        <v>14500</v>
      </c>
      <c r="D11" t="inlineStr">
        <is>
          <t>Post-go-live support pod</t>
        </is>
      </c>
    </row>
    <row r="12">
      <c r="A12" t="inlineStr">
        <is>
          <t>Service Delivery Manager (AMC)</t>
        </is>
      </c>
      <c r="B12" s="2" t="n">
        <v>9500</v>
      </c>
      <c r="C12" s="2" t="n">
        <v>21000</v>
      </c>
      <c r="D12" t="inlineStr">
        <is>
          <t>AMC governance, SLA reporting</t>
        </is>
      </c>
    </row>
    <row r="14">
      <c r="A14" t="inlineStr">
        <is>
          <t>NOTE: onshore rates are labour only — lodging, boarding and travel are costed separately in this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Role (FTE per window)</t>
        </is>
      </c>
      <c r="B1" s="1" t="inlineStr">
        <is>
          <t>M0–M2</t>
        </is>
      </c>
      <c r="C1" s="1" t="inlineStr">
        <is>
          <t>M3–M5</t>
        </is>
      </c>
      <c r="D1" s="1" t="inlineStr">
        <is>
          <t>M6–M8</t>
        </is>
      </c>
      <c r="E1" s="1" t="inlineStr">
        <is>
          <t>M9–M11</t>
        </is>
      </c>
      <c r="F1" s="1" t="inlineStr">
        <is>
          <t>M12–M14</t>
        </is>
      </c>
      <c r="G1" s="1" t="inlineStr">
        <is>
          <t>M15</t>
        </is>
      </c>
      <c r="H1" s="1" t="inlineStr">
        <is>
          <t>Person-months</t>
        </is>
      </c>
      <c r="I1" s="1" t="inlineStr">
        <is>
          <t>Onshore share</t>
        </is>
      </c>
      <c r="J1" s="1" t="inlineStr">
        <is>
          <t>Onshore MM</t>
        </is>
      </c>
      <c r="K1" s="1" t="inlineStr">
        <is>
          <t>Offshore MM</t>
        </is>
      </c>
      <c r="L1" s="1" t="inlineStr">
        <is>
          <t>Onshore cost</t>
        </is>
      </c>
      <c r="M1" s="1" t="inlineStr">
        <is>
          <t>Offshore cost</t>
        </is>
      </c>
      <c r="N1" s="1" t="inlineStr">
        <is>
          <t>Role cost</t>
        </is>
      </c>
    </row>
    <row r="2">
      <c r="A2" t="inlineStr">
        <is>
          <t>Programme Manager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s="3">
        <f>B2*3+C2*3+D2*3+E2*3+F2*3+G2*1</f>
        <v/>
      </c>
      <c r="I2" s="4" t="n">
        <v>1</v>
      </c>
      <c r="J2" s="3">
        <f>H2*I2</f>
        <v/>
      </c>
      <c r="K2" s="3">
        <f>H2*(1-I2)</f>
        <v/>
      </c>
      <c r="L2" s="2">
        <f>J2*INDEX(RateCards!C:C,MATCH(A2,RateCards!A:A,0))</f>
        <v/>
      </c>
      <c r="M2" s="2">
        <f>K2*INDEX(RateCards!B:B,MATCH(A2,RateCards!A:A,0))</f>
        <v/>
      </c>
      <c r="N2" s="2">
        <f>L2+M2</f>
        <v/>
      </c>
    </row>
    <row r="3">
      <c r="A3" t="inlineStr">
        <is>
          <t>Solution Architect</t>
        </is>
      </c>
      <c r="B3" t="n">
        <v>1</v>
      </c>
      <c r="C3" t="n">
        <v>1</v>
      </c>
      <c r="D3" t="n">
        <v>1</v>
      </c>
      <c r="E3" t="n">
        <v>1</v>
      </c>
      <c r="F3" t="n">
        <v>0.5</v>
      </c>
      <c r="G3" t="n">
        <v>0</v>
      </c>
      <c r="H3" s="3">
        <f>B3*3+C3*3+D3*3+E3*3+F3*3+G3*1</f>
        <v/>
      </c>
      <c r="I3" s="4" t="n">
        <v>0.6</v>
      </c>
      <c r="J3" s="3">
        <f>H3*I3</f>
        <v/>
      </c>
      <c r="K3" s="3">
        <f>H3*(1-I3)</f>
        <v/>
      </c>
      <c r="L3" s="2">
        <f>J3*INDEX(RateCards!C:C,MATCH(A3,RateCards!A:A,0))</f>
        <v/>
      </c>
      <c r="M3" s="2">
        <f>K3*INDEX(RateCards!B:B,MATCH(A3,RateCards!A:A,0))</f>
        <v/>
      </c>
      <c r="N3" s="2">
        <f>L3+M3</f>
        <v/>
      </c>
    </row>
    <row r="4">
      <c r="A4" t="inlineStr">
        <is>
          <t>Technical Lead</t>
        </is>
      </c>
      <c r="B4" t="n">
        <v>1</v>
      </c>
      <c r="C4" t="n">
        <v>2</v>
      </c>
      <c r="D4" t="n">
        <v>3</v>
      </c>
      <c r="E4" t="n">
        <v>3</v>
      </c>
      <c r="F4" t="n">
        <v>2</v>
      </c>
      <c r="G4" t="n">
        <v>1</v>
      </c>
      <c r="H4" s="3">
        <f>B4*3+C4*3+D4*3+E4*3+F4*3+G4*1</f>
        <v/>
      </c>
      <c r="I4" s="4" t="n">
        <v>0.4</v>
      </c>
      <c r="J4" s="3">
        <f>H4*I4</f>
        <v/>
      </c>
      <c r="K4" s="3">
        <f>H4*(1-I4)</f>
        <v/>
      </c>
      <c r="L4" s="2">
        <f>J4*INDEX(RateCards!C:C,MATCH(A4,RateCards!A:A,0))</f>
        <v/>
      </c>
      <c r="M4" s="2">
        <f>K4*INDEX(RateCards!B:B,MATCH(A4,RateCards!A:A,0))</f>
        <v/>
      </c>
      <c r="N4" s="2">
        <f>L4+M4</f>
        <v/>
      </c>
    </row>
    <row r="5">
      <c r="A5" t="inlineStr">
        <is>
          <t>Senior Engineer</t>
        </is>
      </c>
      <c r="B5" t="n">
        <v>2</v>
      </c>
      <c r="C5" t="n">
        <v>4</v>
      </c>
      <c r="D5" t="n">
        <v>5</v>
      </c>
      <c r="E5" t="n">
        <v>5</v>
      </c>
      <c r="F5" t="n">
        <v>3</v>
      </c>
      <c r="G5" t="n">
        <v>2</v>
      </c>
      <c r="H5" s="3">
        <f>B5*3+C5*3+D5*3+E5*3+F5*3+G5*1</f>
        <v/>
      </c>
      <c r="I5" s="4" t="n">
        <v>0.2</v>
      </c>
      <c r="J5" s="3">
        <f>H5*I5</f>
        <v/>
      </c>
      <c r="K5" s="3">
        <f>H5*(1-I5)</f>
        <v/>
      </c>
      <c r="L5" s="2">
        <f>J5*INDEX(RateCards!C:C,MATCH(A5,RateCards!A:A,0))</f>
        <v/>
      </c>
      <c r="M5" s="2">
        <f>K5*INDEX(RateCards!B:B,MATCH(A5,RateCards!A:A,0))</f>
        <v/>
      </c>
      <c r="N5" s="2">
        <f>L5+M5</f>
        <v/>
      </c>
    </row>
    <row r="6">
      <c r="A6" t="inlineStr">
        <is>
          <t>Engineer</t>
        </is>
      </c>
      <c r="B6" t="n">
        <v>1</v>
      </c>
      <c r="C6" t="n">
        <v>2</v>
      </c>
      <c r="D6" t="n">
        <v>3</v>
      </c>
      <c r="E6" t="n">
        <v>3</v>
      </c>
      <c r="F6" t="n">
        <v>2</v>
      </c>
      <c r="G6" t="n">
        <v>1</v>
      </c>
      <c r="H6" s="3">
        <f>B6*3+C6*3+D6*3+E6*3+F6*3+G6*1</f>
        <v/>
      </c>
      <c r="I6" s="4" t="n">
        <v>0</v>
      </c>
      <c r="J6" s="3">
        <f>H6*I6</f>
        <v/>
      </c>
      <c r="K6" s="3">
        <f>H6*(1-I6)</f>
        <v/>
      </c>
      <c r="L6" s="2">
        <f>J6*INDEX(RateCards!C:C,MATCH(A6,RateCards!A:A,0))</f>
        <v/>
      </c>
      <c r="M6" s="2">
        <f>K6*INDEX(RateCards!B:B,MATCH(A6,RateCards!A:A,0))</f>
        <v/>
      </c>
      <c r="N6" s="2">
        <f>L6+M6</f>
        <v/>
      </c>
    </row>
    <row r="7">
      <c r="A7" t="inlineStr">
        <is>
          <t>AI/ML Engineer</t>
        </is>
      </c>
      <c r="B7" t="n">
        <v>1</v>
      </c>
      <c r="C7" t="n">
        <v>2</v>
      </c>
      <c r="D7" t="n">
        <v>2</v>
      </c>
      <c r="E7" t="n">
        <v>2</v>
      </c>
      <c r="F7" t="n">
        <v>1.5</v>
      </c>
      <c r="G7" t="n">
        <v>0.5</v>
      </c>
      <c r="H7" s="3">
        <f>B7*3+C7*3+D7*3+E7*3+F7*3+G7*1</f>
        <v/>
      </c>
      <c r="I7" s="4" t="n">
        <v>0.25</v>
      </c>
      <c r="J7" s="3">
        <f>H7*I7</f>
        <v/>
      </c>
      <c r="K7" s="3">
        <f>H7*(1-I7)</f>
        <v/>
      </c>
      <c r="L7" s="2">
        <f>J7*INDEX(RateCards!C:C,MATCH(A7,RateCards!A:A,0))</f>
        <v/>
      </c>
      <c r="M7" s="2">
        <f>K7*INDEX(RateCards!B:B,MATCH(A7,RateCards!A:A,0))</f>
        <v/>
      </c>
      <c r="N7" s="2">
        <f>L7+M7</f>
        <v/>
      </c>
    </row>
    <row r="8">
      <c r="A8" t="inlineStr">
        <is>
          <t>QA Engineer</t>
        </is>
      </c>
      <c r="B8" t="n">
        <v>0</v>
      </c>
      <c r="C8" t="n">
        <v>1</v>
      </c>
      <c r="D8" t="n">
        <v>1.5</v>
      </c>
      <c r="E8" t="n">
        <v>1.5</v>
      </c>
      <c r="F8" t="n">
        <v>1.5</v>
      </c>
      <c r="G8" t="n">
        <v>1.5</v>
      </c>
      <c r="H8" s="3">
        <f>B8*3+C8*3+D8*3+E8*3+F8*3+G8*1</f>
        <v/>
      </c>
      <c r="I8" s="4" t="n">
        <v>0.1</v>
      </c>
      <c r="J8" s="3">
        <f>H8*I8</f>
        <v/>
      </c>
      <c r="K8" s="3">
        <f>H8*(1-I8)</f>
        <v/>
      </c>
      <c r="L8" s="2">
        <f>J8*INDEX(RateCards!C:C,MATCH(A8,RateCards!A:A,0))</f>
        <v/>
      </c>
      <c r="M8" s="2">
        <f>K8*INDEX(RateCards!B:B,MATCH(A8,RateCards!A:A,0))</f>
        <v/>
      </c>
      <c r="N8" s="2">
        <f>L8+M8</f>
        <v/>
      </c>
    </row>
    <row r="9">
      <c r="A9" t="inlineStr">
        <is>
          <t>DevOps Engineer</t>
        </is>
      </c>
      <c r="B9" t="n">
        <v>0.5</v>
      </c>
      <c r="C9" t="n">
        <v>0.5</v>
      </c>
      <c r="D9" t="n">
        <v>1</v>
      </c>
      <c r="E9" t="n">
        <v>1</v>
      </c>
      <c r="F9" t="n">
        <v>0.5</v>
      </c>
      <c r="G9" t="n">
        <v>0.5</v>
      </c>
      <c r="H9" s="3">
        <f>B9*3+C9*3+D9*3+E9*3+F9*3+G9*1</f>
        <v/>
      </c>
      <c r="I9" s="4" t="n">
        <v>0.1</v>
      </c>
      <c r="J9" s="3">
        <f>H9*I9</f>
        <v/>
      </c>
      <c r="K9" s="3">
        <f>H9*(1-I9)</f>
        <v/>
      </c>
      <c r="L9" s="2">
        <f>J9*INDEX(RateCards!C:C,MATCH(A9,RateCards!A:A,0))</f>
        <v/>
      </c>
      <c r="M9" s="2">
        <f>K9*INDEX(RateCards!B:B,MATCH(A9,RateCards!A:A,0))</f>
        <v/>
      </c>
      <c r="N9" s="2">
        <f>L9+M9</f>
        <v/>
      </c>
    </row>
    <row r="10">
      <c r="A10" t="inlineStr">
        <is>
          <t>BA / Domain SME</t>
        </is>
      </c>
      <c r="B10" t="n">
        <v>0.5</v>
      </c>
      <c r="C10" t="n">
        <v>0.5</v>
      </c>
      <c r="D10" t="n">
        <v>0.5</v>
      </c>
      <c r="E10" t="n">
        <v>0.5</v>
      </c>
      <c r="F10" t="n">
        <v>0</v>
      </c>
      <c r="G10" t="n">
        <v>0.5</v>
      </c>
      <c r="H10" s="3">
        <f>B10*3+C10*3+D10*3+E10*3+F10*3+G10*1</f>
        <v/>
      </c>
      <c r="I10" s="4" t="n">
        <v>1</v>
      </c>
      <c r="J10" s="3">
        <f>H10*I10</f>
        <v/>
      </c>
      <c r="K10" s="3">
        <f>H10*(1-I10)</f>
        <v/>
      </c>
      <c r="L10" s="2">
        <f>J10*INDEX(RateCards!C:C,MATCH(A10,RateCards!A:A,0))</f>
        <v/>
      </c>
      <c r="M10" s="2">
        <f>K10*INDEX(RateCards!B:B,MATCH(A10,RateCards!A:A,0))</f>
        <v/>
      </c>
      <c r="N10" s="2">
        <f>L10+M10</f>
        <v/>
      </c>
    </row>
    <row r="11">
      <c r="A11" s="5" t="inlineStr">
        <is>
          <t>Total</t>
        </is>
      </c>
      <c r="B11" s="5">
        <f>SUM(B2:B10)</f>
        <v/>
      </c>
      <c r="C11" s="5">
        <f>SUM(C2:C10)</f>
        <v/>
      </c>
      <c r="D11" s="5">
        <f>SUM(D2:D10)</f>
        <v/>
      </c>
      <c r="E11" s="5">
        <f>SUM(E2:E10)</f>
        <v/>
      </c>
      <c r="F11" s="5">
        <f>SUM(F2:F10)</f>
        <v/>
      </c>
      <c r="G11" s="5">
        <f>SUM(G2:G10)</f>
        <v/>
      </c>
      <c r="H11" s="6">
        <f>SUM(H2:H10)</f>
        <v/>
      </c>
      <c r="I11" s="7" t="inlineStr"/>
      <c r="J11" s="6">
        <f>SUM(J2:J10)</f>
        <v/>
      </c>
      <c r="K11" s="6">
        <f>SUM(K2:K10)</f>
        <v/>
      </c>
      <c r="L11" s="8">
        <f>SUM(L2:L10)</f>
        <v/>
      </c>
      <c r="M11" s="8">
        <f>SUM(M2:M10)</f>
        <v/>
      </c>
      <c r="N11" s="8">
        <f>SUM(N2:N10)</f>
        <v/>
      </c>
    </row>
    <row r="12">
      <c r="A12" t="inlineStr">
        <is>
          <t>Onshore share of MM (target 30%)</t>
        </is>
      </c>
      <c r="B12" t="inlineStr"/>
      <c r="C12" t="inlineStr"/>
      <c r="D12" t="inlineStr"/>
      <c r="E12" t="inlineStr"/>
      <c r="F12" t="inlineStr"/>
      <c r="G12" t="inlineStr"/>
      <c r="H12" t="inlineStr"/>
      <c r="I12" s="4">
        <f>J11/H11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1" t="inlineStr">
        <is>
          <t>AMC support pod (per year)</t>
        </is>
      </c>
      <c r="B1" s="1" t="inlineStr">
        <is>
          <t>FTE</t>
        </is>
      </c>
      <c r="C1" s="1" t="inlineStr">
        <is>
          <t>Location</t>
        </is>
      </c>
      <c r="D1" s="1" t="inlineStr">
        <is>
          <t>Rate (USD/mo)</t>
        </is>
      </c>
      <c r="E1" s="1" t="inlineStr">
        <is>
          <t>Months</t>
        </is>
      </c>
      <c r="F1" s="1" t="inlineStr">
        <is>
          <t>Cost (USD)</t>
        </is>
      </c>
    </row>
    <row r="2">
      <c r="A2" t="inlineStr">
        <is>
          <t>Support Engineer (AMC L2/L3)</t>
        </is>
      </c>
      <c r="B2" t="n">
        <v>3</v>
      </c>
      <c r="C2" t="inlineStr">
        <is>
          <t>Offshore</t>
        </is>
      </c>
      <c r="D2" s="2">
        <f>INDEX(RateCards!B:B,MATCH(A2,RateCards!A:A,0))</f>
        <v/>
      </c>
      <c r="E2" t="n">
        <v>12</v>
      </c>
      <c r="F2" s="2">
        <f>B2*D2*E2</f>
        <v/>
      </c>
    </row>
    <row r="3">
      <c r="A3" t="inlineStr">
        <is>
          <t>Support Engineer (AMC L2/L3)</t>
        </is>
      </c>
      <c r="B3" t="n">
        <v>0.5</v>
      </c>
      <c r="C3" t="inlineStr">
        <is>
          <t>Onshore</t>
        </is>
      </c>
      <c r="D3" s="2">
        <f>INDEX(RateCards!C:C,MATCH(A3,RateCards!A:A,0))</f>
        <v/>
      </c>
      <c r="E3" t="n">
        <v>12</v>
      </c>
      <c r="F3" s="2">
        <f>B3*D3*E3</f>
        <v/>
      </c>
    </row>
    <row r="4">
      <c r="A4" t="inlineStr">
        <is>
          <t>AI/ML Engineer</t>
        </is>
      </c>
      <c r="B4" t="n">
        <v>0.5</v>
      </c>
      <c r="C4" t="inlineStr">
        <is>
          <t>Offshore</t>
        </is>
      </c>
      <c r="D4" s="2">
        <f>INDEX(RateCards!B:B,MATCH(A4,RateCards!A:A,0))</f>
        <v/>
      </c>
      <c r="E4" t="n">
        <v>12</v>
      </c>
      <c r="F4" s="2">
        <f>B4*D4*E4</f>
        <v/>
      </c>
    </row>
    <row r="5">
      <c r="A5" t="inlineStr">
        <is>
          <t>DevOps Engineer</t>
        </is>
      </c>
      <c r="B5" t="n">
        <v>0.5</v>
      </c>
      <c r="C5" t="inlineStr">
        <is>
          <t>Offshore</t>
        </is>
      </c>
      <c r="D5" s="2">
        <f>INDEX(RateCards!B:B,MATCH(A5,RateCards!A:A,0))</f>
        <v/>
      </c>
      <c r="E5" t="n">
        <v>12</v>
      </c>
      <c r="F5" s="2">
        <f>B5*D5*E5</f>
        <v/>
      </c>
    </row>
    <row r="6">
      <c r="A6" t="inlineStr">
        <is>
          <t>Service Delivery Manager (AMC)</t>
        </is>
      </c>
      <c r="B6" t="n">
        <v>0.5</v>
      </c>
      <c r="C6" t="inlineStr">
        <is>
          <t>Onshore</t>
        </is>
      </c>
      <c r="D6" s="2">
        <f>INDEX(RateCards!C:C,MATCH(A6,RateCards!A:A,0))</f>
        <v/>
      </c>
      <c r="E6" t="n">
        <v>12</v>
      </c>
      <c r="F6" s="2">
        <f>B6*D6*E6</f>
        <v/>
      </c>
    </row>
    <row r="7">
      <c r="A7" t="inlineStr">
        <is>
          <t>Tooling, monitoring &amp; SLA reporting stack</t>
        </is>
      </c>
      <c r="B7" t="inlineStr"/>
      <c r="C7" t="inlineStr"/>
      <c r="D7" s="2" t="inlineStr"/>
      <c r="E7" t="inlineStr"/>
      <c r="F7" s="2" t="n">
        <v>31000</v>
      </c>
    </row>
    <row r="8">
      <c r="A8" s="5" t="inlineStr">
        <is>
          <t>AMC Year-1 price</t>
        </is>
      </c>
      <c r="B8" s="5" t="inlineStr"/>
      <c r="C8" s="5" t="inlineStr"/>
      <c r="D8" s="8" t="inlineStr"/>
      <c r="E8" s="5" t="inlineStr"/>
      <c r="F8" s="8">
        <f>SUM(F2:F7)</f>
        <v/>
      </c>
    </row>
    <row r="10">
      <c r="A10" t="inlineStr">
        <is>
          <t>Covers: 24/7 P1 support per RFP §6.1 SLAs · model drift monitoring (§6.6) · quarterly AI adoption reporting (D12) · patches per §6.5 clocks</t>
        </is>
      </c>
    </row>
    <row r="11">
      <c r="A11" t="inlineStr">
        <is>
          <t>Extension pricing (client option):</t>
        </is>
      </c>
      <c r="B11" t="inlineStr">
        <is>
          <t>Years</t>
        </is>
      </c>
      <c r="C11" t="inlineStr">
        <is>
          <t>Escalation p.a.</t>
        </is>
      </c>
      <c r="D11" t="inlineStr">
        <is>
          <t>Price</t>
        </is>
      </c>
    </row>
    <row r="12">
      <c r="A12" t="inlineStr">
        <is>
          <t xml:space="preserve">  Year 2</t>
        </is>
      </c>
      <c r="B12" t="n">
        <v>2</v>
      </c>
      <c r="C12" s="4" t="n">
        <v>0.03</v>
      </c>
      <c r="D12" s="2">
        <f>F8*(1+C12)</f>
        <v/>
      </c>
    </row>
    <row r="13">
      <c r="A13" t="inlineStr">
        <is>
          <t xml:space="preserve">  Year 3</t>
        </is>
      </c>
      <c r="B13" t="n">
        <v>3</v>
      </c>
      <c r="C13" s="4" t="n">
        <v>0.03</v>
      </c>
      <c r="D13" s="2">
        <f>F8*(1+C13)^2</f>
        <v/>
      </c>
    </row>
    <row r="14">
      <c r="A14" t="inlineStr">
        <is>
          <t xml:space="preserve">  Year 4</t>
        </is>
      </c>
      <c r="B14" t="n">
        <v>4</v>
      </c>
      <c r="C14" s="4" t="n">
        <v>0.03</v>
      </c>
      <c r="D14" s="2">
        <f>F8*(1+C14)^3</f>
        <v/>
      </c>
    </row>
    <row r="15">
      <c r="A15" t="inlineStr">
        <is>
          <t xml:space="preserve">  Year 5</t>
        </is>
      </c>
      <c r="B15" t="n">
        <v>5</v>
      </c>
      <c r="C15" s="4" t="n">
        <v>0.03</v>
      </c>
      <c r="D15" s="2">
        <f>F8*(1+C15)^4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Item</t>
        </is>
      </c>
      <c r="B1" s="1" t="inlineStr">
        <is>
          <t>Qty</t>
        </is>
      </c>
      <c r="C1" s="1" t="inlineStr">
        <is>
          <t>Unit</t>
        </is>
      </c>
      <c r="D1" s="1" t="inlineStr">
        <is>
          <t>Rate (USD)</t>
        </is>
      </c>
      <c r="E1" s="1" t="inlineStr">
        <is>
          <t>Cost (USD)</t>
        </is>
      </c>
    </row>
    <row r="2">
      <c r="A2" t="inlineStr">
        <is>
          <t>Return flights (rotations, mobilisation, leadership reviews)</t>
        </is>
      </c>
      <c r="B2" t="n">
        <v>70</v>
      </c>
      <c r="C2" t="inlineStr">
        <is>
          <t>trips</t>
        </is>
      </c>
      <c r="D2" s="2" t="n">
        <v>1200</v>
      </c>
      <c r="E2" s="2">
        <f>B2*D2</f>
        <v/>
      </c>
    </row>
    <row r="3">
      <c r="A3" t="inlineStr">
        <is>
          <t>Lodging &amp; boarding — onshore stays</t>
        </is>
      </c>
      <c r="B3" s="3">
        <f>DeltaDev!J11</f>
        <v/>
      </c>
      <c r="C3" t="inlineStr">
        <is>
          <t>person-months</t>
        </is>
      </c>
      <c r="D3" s="2" t="n">
        <v>3670</v>
      </c>
      <c r="E3" s="2">
        <f>B3*D3</f>
        <v/>
      </c>
    </row>
    <row r="4">
      <c r="A4" t="inlineStr">
        <is>
          <t>Local transport &amp; UAE mobility</t>
        </is>
      </c>
      <c r="B4" t="inlineStr"/>
      <c r="C4" t="inlineStr">
        <is>
          <t>lump sum</t>
        </is>
      </c>
      <c r="D4" s="2" t="inlineStr"/>
      <c r="E4" s="2" t="n">
        <v>24000</v>
      </c>
    </row>
    <row r="5">
      <c r="A5" t="inlineStr">
        <is>
          <t>Visas &amp; work permits</t>
        </is>
      </c>
      <c r="B5" t="n">
        <v>30</v>
      </c>
      <c r="C5" t="inlineStr">
        <is>
          <t>permits</t>
        </is>
      </c>
      <c r="D5" s="2" t="n">
        <v>800</v>
      </c>
      <c r="E5" s="2">
        <f>B5*D5</f>
        <v/>
      </c>
    </row>
    <row r="6">
      <c r="A6" s="5" t="inlineStr">
        <is>
          <t>Total travel, lodging &amp; boarding</t>
        </is>
      </c>
      <c r="B6" s="5" t="inlineStr"/>
      <c r="C6" s="5" t="inlineStr"/>
      <c r="D6" s="8" t="inlineStr"/>
      <c r="E6" s="8">
        <f>SUM(E2:E5)</f>
        <v/>
      </c>
    </row>
    <row r="8">
      <c r="A8" t="inlineStr">
        <is>
          <t>Lodging basis: serviced apartment ~2,700 + boarding per-diem ~970 per onshore person-month. Onshore labour rates in RateCards exclude these.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4" customWidth="1" min="1" max="1"/>
    <col width="72" customWidth="1" min="2" max="2"/>
  </cols>
  <sheetData>
    <row r="1">
      <c r="A1" s="1" t="inlineStr">
        <is>
          <t>Item</t>
        </is>
      </c>
      <c r="B1" s="1" t="inlineStr">
        <is>
          <t>Detail</t>
        </is>
      </c>
      <c r="C1" s="1" t="inlineStr">
        <is>
          <t>Cost (USD)</t>
        </is>
      </c>
    </row>
    <row r="2">
      <c r="A2" t="inlineStr">
        <is>
          <t>Training delivery (non-labour)</t>
        </is>
      </c>
      <c r="B2" t="inlineStr">
        <is>
          <t>Bilingual AR/EN materials, translation, training lab environments, venues; trainer effort is inside the development estimate (D10)</t>
        </is>
      </c>
      <c r="C2" s="2" t="n">
        <v>60000</v>
      </c>
    </row>
    <row r="3">
      <c r="A3" t="inlineStr">
        <is>
          <t>Software licences &amp; tooling (delivery period)</t>
        </is>
      </c>
      <c r="B3" t="inlineStr">
        <is>
          <t>APM/monitoring, code quality, test &amp; load tooling, design/collab licences for the programme team</t>
        </is>
      </c>
      <c r="C3" s="2" t="n">
        <v>160000</v>
      </c>
    </row>
    <row r="4">
      <c r="A4" t="inlineStr">
        <is>
          <t>Local compliance &amp; certification</t>
        </is>
      </c>
      <c r="B4" t="inlineStr">
        <is>
          <t>UAE-accredited VAPT (annual, §6.5), TDRA accessibility audit (§5.9), PDPL/data-residency advisory, security-standards alignment (§7.4)</t>
        </is>
      </c>
      <c r="C4" s="2" t="n">
        <v>95000</v>
      </c>
    </row>
    <row r="5">
      <c r="A5" t="inlineStr">
        <is>
          <t>Miscellaneous &amp; mobilisation</t>
        </is>
      </c>
      <c r="B5" t="inlineStr">
        <is>
          <t>Insurance, communications, logistics, workspace, mobilisation/demobilisation</t>
        </is>
      </c>
      <c r="C5" s="2" t="n">
        <v>80000</v>
      </c>
    </row>
    <row r="6">
      <c r="A6" t="inlineStr">
        <is>
          <t>Cloud consumption (optional — default client-side)</t>
        </is>
      </c>
      <c r="B6" t="inlineStr">
        <is>
          <t>Azure subscription assumed held by the Authority; set a value here only if vendor-carried</t>
        </is>
      </c>
      <c r="C6" s="2" t="n">
        <v>0</v>
      </c>
    </row>
    <row r="7">
      <c r="A7" s="5" t="inlineStr">
        <is>
          <t>Total other costs</t>
        </is>
      </c>
      <c r="B7" s="5" t="inlineStr"/>
      <c r="C7" s="8">
        <f>SUM(C2:C6)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50" customWidth="1" min="1" max="1"/>
    <col width="64" customWidth="1" min="2" max="2"/>
    <col width="16" customWidth="1" min="3" max="3"/>
  </cols>
  <sheetData>
    <row r="1">
      <c r="A1" s="1" t="inlineStr">
        <is>
          <t>Commercial construct — two-year delivery envelope + one-year AMC</t>
        </is>
      </c>
      <c r="B1" s="1" t="inlineStr"/>
      <c r="C1" s="1" t="inlineStr">
        <is>
          <t>USD</t>
        </is>
      </c>
    </row>
    <row r="2">
      <c r="A2" t="inlineStr">
        <is>
          <t>1 · Platform licence (the built platform, both portals)</t>
        </is>
      </c>
      <c r="B2" t="inlineStr">
        <is>
          <t>Derived: target minus all other components — see implied effort below</t>
        </is>
      </c>
      <c r="C2" s="2">
        <f>C13-SUM(C3:C10)</f>
        <v/>
      </c>
    </row>
    <row r="3">
      <c r="A3" t="inlineStr">
        <is>
          <t>2 · Delta development (70:30 offshore/onshore)</t>
        </is>
      </c>
      <c r="B3" t="inlineStr">
        <is>
          <t>218 person-months per DeltaDev</t>
        </is>
      </c>
      <c r="C3" s="2">
        <f>DeltaDev!N11</f>
        <v/>
      </c>
    </row>
    <row r="4">
      <c r="A4" t="inlineStr">
        <is>
          <t>3 · Contingency on development</t>
        </is>
      </c>
      <c r="B4" t="inlineStr">
        <is>
          <t>Rate below</t>
        </is>
      </c>
      <c r="C4" s="2">
        <f>C3*C15</f>
        <v/>
      </c>
    </row>
    <row r="5">
      <c r="A5" t="inlineStr">
        <is>
          <t>4 · Training delivery (non-labour)</t>
        </is>
      </c>
      <c r="B5" t="inlineStr">
        <is>
          <t>OtherCosts</t>
        </is>
      </c>
      <c r="C5" s="2">
        <f>OtherCosts!C2</f>
        <v/>
      </c>
    </row>
    <row r="6">
      <c r="A6" t="inlineStr">
        <is>
          <t>5 · Travel, lodging &amp; boarding</t>
        </is>
      </c>
      <c r="B6" t="inlineStr">
        <is>
          <t>TravelLodging</t>
        </is>
      </c>
      <c r="C6" s="2">
        <f>TravelLodging!E6</f>
        <v/>
      </c>
    </row>
    <row r="7">
      <c r="A7" t="inlineStr">
        <is>
          <t>6 · Software licences &amp; tooling</t>
        </is>
      </c>
      <c r="B7" t="inlineStr">
        <is>
          <t>OtherCosts</t>
        </is>
      </c>
      <c r="C7" s="2">
        <f>OtherCosts!C3</f>
        <v/>
      </c>
    </row>
    <row r="8">
      <c r="A8" t="inlineStr">
        <is>
          <t>7 · Local compliance &amp; certification</t>
        </is>
      </c>
      <c r="B8" t="inlineStr">
        <is>
          <t>OtherCosts</t>
        </is>
      </c>
      <c r="C8" s="2">
        <f>OtherCosts!C4</f>
        <v/>
      </c>
    </row>
    <row r="9">
      <c r="A9" t="inlineStr">
        <is>
          <t>8 · Miscellaneous &amp; mobilisation + optional cloud</t>
        </is>
      </c>
      <c r="B9" t="inlineStr">
        <is>
          <t>OtherCosts</t>
        </is>
      </c>
      <c r="C9" s="2">
        <f>OtherCosts!C5+OtherCosts!C6</f>
        <v/>
      </c>
    </row>
    <row r="10">
      <c r="A10" t="inlineStr">
        <is>
          <t>9 · AMC — Year 1</t>
        </is>
      </c>
      <c r="B10" t="inlineStr">
        <is>
          <t>AMC sheet (per-year price; client may extend at the escalation table)</t>
        </is>
      </c>
      <c r="C10" s="2">
        <f>AMC!F8</f>
        <v/>
      </c>
    </row>
    <row r="11">
      <c r="A11" s="5" t="inlineStr">
        <is>
          <t>TOTAL</t>
        </is>
      </c>
      <c r="B11" s="5" t="inlineStr"/>
      <c r="C11" s="8">
        <f>SUM(C2:C10)</f>
        <v/>
      </c>
    </row>
    <row r="13">
      <c r="A13" s="9" t="inlineStr">
        <is>
          <t>TARGET PRICE</t>
        </is>
      </c>
      <c r="B13" s="9" t="inlineStr">
        <is>
          <t>Fixed commercial target</t>
        </is>
      </c>
      <c r="C13" s="10" t="n">
        <v>5400000</v>
      </c>
    </row>
    <row r="14">
      <c r="A14" t="inlineStr">
        <is>
          <t>Variance (should be 0)</t>
        </is>
      </c>
      <c r="B14" t="inlineStr"/>
      <c r="C14" s="2">
        <f>C11-C13</f>
        <v/>
      </c>
    </row>
    <row r="15">
      <c r="A15" t="inlineStr">
        <is>
          <t>Contingency rate</t>
        </is>
      </c>
      <c r="B15" t="inlineStr">
        <is>
          <t>editable</t>
        </is>
      </c>
      <c r="C15" s="4" t="n">
        <v>0.1</v>
      </c>
    </row>
    <row r="17">
      <c r="A17" t="inlineStr">
        <is>
          <t>Platform licence justification</t>
        </is>
      </c>
      <c r="B17" t="inlineStr"/>
    </row>
    <row r="18">
      <c r="A18" t="inlineStr">
        <is>
          <t xml:space="preserve">  Implied as-built effort (person-months)</t>
        </is>
      </c>
      <c r="B18" t="inlineStr">
        <is>
          <t>licence ÷ blended offshore rate</t>
        </is>
      </c>
      <c r="C18" s="3">
        <f>C2/6990</f>
        <v/>
      </c>
    </row>
    <row r="19">
      <c r="A19" t="inlineStr">
        <is>
          <t xml:space="preserve">  Implied as-built effort (man-weeks)</t>
        </is>
      </c>
      <c r="B19" t="inlineStr">
        <is>
          <t>× 4.33</t>
        </is>
      </c>
      <c r="C19" s="2">
        <f>C18*4.33</f>
        <v/>
      </c>
    </row>
    <row r="20">
      <c r="A20" t="inlineStr">
        <is>
          <t xml:space="preserve">  Reading</t>
        </is>
      </c>
      <c r="B20" t="inlineStr">
        <is>
          <t>The built platform (13 modules, 207 endpoints, 7 agents + the analytics portal) embodies this prior build effort — the reverse-working target for the TAD</t>
        </is>
      </c>
      <c r="C20" t="inlineStr"/>
    </row>
    <row r="22">
      <c r="A22" t="inlineStr">
        <is>
          <t>Assumptions</t>
        </is>
      </c>
      <c r="B22" t="inlineStr">
        <is>
          <t>1) Prices exclusive of VAT. 2) Azure consumption client-side unless set in OtherCosts. 3) Delivery envelope 24 months (build to Go-Live T0 at M15, hypercare and stabilisation inside the envelope); AMC Year 1 follows. 4) Third-party onboarding fees (UAE PASS, ICP, gateway, data providers) remain pass-through.</t>
        </is>
      </c>
      <c r="C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2026-08-28T10:33:03Z</dcterms:created>
  <dcterms:modified xmlns:dcterms="http://purl.org/dc/terms/" xmlns:xsi="http://www.w3.org/2001/XMLSchema-instance" xsi:type="dcterms:W3CDTF">2026-08-28T10:33:03Z</dcterms:modified>
</cp:coreProperties>
</file>